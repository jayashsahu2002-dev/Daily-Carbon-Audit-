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AC_Baseline" sheetId="3" state="visible" r:id="rId5"/>
    <sheet name="HotWater" sheetId="4" state="visible" r:id="rId6"/>
    <sheet name="Inventory" sheetId="5" state="visible" r:id="rId7"/>
    <sheet name="Monthly" sheetId="6" state="visible" r:id="rId8"/>
    <sheet name="Breakdown" sheetId="7" state="visible" r:id="rId9"/>
    <sheet name="GHG_Inventory" sheetId="8" state="visible" r:id="rId10"/>
    <sheet name="Lifestyle_Scope3" sheetId="9" state="visible" r:id="rId11"/>
    <sheet name="EMO_Register" sheetId="10" state="visible" r:id="rId12"/>
    <sheet name="Sensitivity" sheetId="11" state="visible" r:id="rId13"/>
    <sheet name="EE-EAes_Summary" sheetId="12" state="visible" r:id="rId14"/>
    <sheet name="EE-EAes_Entry_Guide" sheetId="13" state="visible" r:id="rId15"/>
    <sheet name="Photo_Log" sheetId="14" state="visible" r:id="rId16"/>
    <sheet name="Sources" sheetId="15" state="visible" r:id="rId17"/>
  </sheets>
  <definedNames>
    <definedName function="false" hidden="false" name="AC_BU" vbProcedure="false">AC_Baseline!$K$10</definedName>
    <definedName function="false" hidden="false" name="AC_CAP_KW" vbProcedure="false">Inputs!$C$37</definedName>
    <definedName function="false" hidden="false" name="AC_CHARGE" vbProcedure="false">Inputs!$C$44</definedName>
    <definedName function="false" hidden="false" name="AC_CSPF" vbProcedure="false">Inputs!$C$38</definedName>
    <definedName function="false" hidden="false" name="AC_HOURS" vbProcedure="false">AC_Baseline!$K$8</definedName>
    <definedName function="false" hidden="false" name="AC_H_COOL" vbProcedure="false">Inputs!$C$42</definedName>
    <definedName function="false" hidden="false" name="AC_H_HOT" vbProcedure="false">Inputs!$C$41</definedName>
    <definedName function="false" hidden="false" name="AC_KWH" vbProcedure="false">AC_Baseline!$K$9</definedName>
    <definedName function="false" hidden="false" name="AC_KWH_HOT" vbProcedure="false">AC_Baseline!$K$16</definedName>
    <definedName function="false" hidden="false" name="AC_LABEL_KWH" vbProcedure="false">Inputs!$C$39</definedName>
    <definedName function="false" hidden="false" name="AC_RATED_KW" vbProcedure="false">Inputs!$C$36</definedName>
    <definedName function="false" hidden="false" name="AC_SETPOINT" vbProcedure="false">Inputs!$C$43</definedName>
    <definedName function="false" hidden="false" name="AC_SPEND_COOL" vbProcedure="false">Inputs!$C$34</definedName>
    <definedName function="false" hidden="false" name="AC_SPEND_HOT" vbProcedure="false">Inputs!$C$33</definedName>
    <definedName function="false" hidden="false" name="AC_SPEND_STATED" vbProcedure="false">Inputs!$C$35</definedName>
    <definedName function="false" hidden="false" name="AC_SPEND_YR" vbProcedure="false">AC_Baseline!$K$19</definedName>
    <definedName function="false" hidden="false" name="AC_STATED" vbProcedure="false">AC_Baseline!$K$12</definedName>
    <definedName function="false" hidden="false" name="BEC_LPD" vbProcedure="false">Inputs!$C$118</definedName>
    <definedName function="false" hidden="false" name="BM_FLOOR_PP" vbProcedure="false">Inputs!$C$115</definedName>
    <definedName function="false" hidden="false" name="BM_HH_KWH" vbProcedure="false">Inputs!$C$113</definedName>
    <definedName function="false" hidden="false" name="BM_HH_PERS" vbProcedure="false">Inputs!$C$114</definedName>
    <definedName function="false" hidden="false" name="BM_HK_T" vbProcedure="false">Inputs!$C$117</definedName>
    <definedName function="false" hidden="false" name="BM_WATER" vbProcedure="false">Inputs!$C$116</definedName>
    <definedName function="false" hidden="false" name="CEIL_H" vbProcedure="false">Inputs!$C$49</definedName>
    <definedName function="false" hidden="false" name="CEIL_N" vbProcedure="false">Inputs!$C$47</definedName>
    <definedName function="false" hidden="false" name="CEIL_W" vbProcedure="false">Inputs!$C$48</definedName>
    <definedName function="false" hidden="false" name="COMMUTE_KM_WK" vbProcedure="false">Inputs!$C$103</definedName>
    <definedName function="false" hidden="false" name="COOK_H" vbProcedure="false">Inputs!$C$86</definedName>
    <definedName function="false" hidden="false" name="COOK_KW" vbProcedure="false">Inputs!$C$87</definedName>
    <definedName function="false" hidden="false" name="COOK_SESS" vbProcedure="false">Inputs!$C$85</definedName>
    <definedName function="false" hidden="false" name="CP_WATER" vbProcedure="false">Inputs!$C$16</definedName>
    <definedName function="false" hidden="false" name="DAYS_COOL" vbProcedure="false">Inputs!$C$14</definedName>
    <definedName function="false" hidden="false" name="DAYS_HOT" vbProcedure="false">Inputs!$C$13</definedName>
    <definedName function="false" hidden="false" name="DEG_SAVING" vbProcedure="false">Inputs!$C$45</definedName>
    <definedName function="false" hidden="false" name="DESK_H" vbProcedure="false">Inputs!$C$52</definedName>
    <definedName function="false" hidden="false" name="DESK_N" vbProcedure="false">Inputs!$C$50</definedName>
    <definedName function="false" hidden="false" name="DESK_W" vbProcedure="false">Inputs!$C$51</definedName>
    <definedName function="false" hidden="false" name="DIET_EF" vbProcedure="false">Inputs!$C$111</definedName>
    <definedName function="false" hidden="false" name="DISP_KWH_DAY" vbProcedure="false">Inputs!$C$77</definedName>
    <definedName function="false" hidden="false" name="DRINK_L" vbProcedure="false">Inputs!$C$95</definedName>
    <definedName function="false" hidden="false" name="DRY_KW" vbProcedure="false">Inputs!$C$91</definedName>
    <definedName function="false" hidden="false" name="DRY_MIN" vbProcedure="false">Inputs!$C$92</definedName>
    <definedName function="false" hidden="false" name="DSD_KWH" vbProcedure="false">Inputs!$C$26</definedName>
    <definedName function="false" hidden="false" name="EF_CLP" vbProcedure="false">Inputs!$C$21</definedName>
    <definedName function="false" hidden="false" name="EF_CLP_PREV" vbProcedure="false">Inputs!$C$22</definedName>
    <definedName function="false" hidden="false" name="EF_DEFAULT" vbProcedure="false">Inputs!$C$23</definedName>
    <definedName function="false" hidden="false" name="EF_LONG" vbProcedure="false">Inputs!$C$109</definedName>
    <definedName function="false" hidden="false" name="EF_SHORT" vbProcedure="false">Inputs!$C$110</definedName>
    <definedName function="false" hidden="false" name="EMO_CAT1_KG" vbProcedure="false">EMO_Register!$E$27</definedName>
    <definedName function="false" hidden="false" name="EMO_CAT1_KWH" vbProcedure="false">EMO_Register!$C$27</definedName>
    <definedName function="false" hidden="false" name="FAN_H" vbProcedure="false">Inputs!$C$61</definedName>
    <definedName function="false" hidden="false" name="FAN_W" vbProcedure="false">Inputs!$C$60</definedName>
    <definedName function="false" hidden="false" name="FLUSH_L" vbProcedure="false">Inputs!$C$97</definedName>
    <definedName function="false" hidden="false" name="FL_UPLIFT" vbProcedure="false">Inputs!$C$108</definedName>
    <definedName function="false" hidden="false" name="FRIDGE_KWH" vbProcedure="false">Inputs!$C$76</definedName>
    <definedName function="false" hidden="false" name="FRIDGE_N" vbProcedure="false">Inputs!$C$75</definedName>
    <definedName function="false" hidden="false" name="GWP_R32" vbProcedure="false">Inputs!$C$29</definedName>
    <definedName function="false" hidden="false" name="GWP_R410A" vbProcedure="false">Inputs!$C$30</definedName>
    <definedName function="false" hidden="false" name="HEATER_EFF" vbProcedure="false">Inputs!$C$67</definedName>
    <definedName function="false" hidden="false" name="HEATER_KW" vbProcedure="false">Inputs!$C$68</definedName>
    <definedName function="false" hidden="false" name="HH_KWH" vbProcedure="false">Inventory!$J$23</definedName>
    <definedName function="false" hidden="false" name="HOME_KM_MONTH" vbProcedure="false">Inputs!$C$105</definedName>
    <definedName function="false" hidden="false" name="HW_AVG_DT" vbProcedure="false">HotWater!$D$18</definedName>
    <definedName function="false" hidden="false" name="HW_KWH" vbProcedure="false">HotWater!$G$18</definedName>
    <definedName function="false" hidden="false" name="KAC_CHARGE" vbProcedure="false">Inputs!$C$81</definedName>
    <definedName function="false" hidden="false" name="KAC_H_COOL" vbProcedure="false">Inputs!$C$80</definedName>
    <definedName function="false" hidden="false" name="KAC_H_HOT" vbProcedure="false">Inputs!$C$79</definedName>
    <definedName function="false" hidden="false" name="KAC_LABEL_KWH" vbProcedure="false">Inputs!$C$78</definedName>
    <definedName function="false" hidden="false" name="KIT_USERS" vbProcedure="false">Inputs!$C$8</definedName>
    <definedName function="false" hidden="false" name="KLIGHT_H" vbProcedure="false">Inputs!$C$84</definedName>
    <definedName function="false" hidden="false" name="KLIGHT_N" vbProcedure="false">Inputs!$C$82</definedName>
    <definedName function="false" hidden="false" name="KLIGHT_W" vbProcedure="false">Inputs!$C$83</definedName>
    <definedName function="false" hidden="false" name="LABEL_HOURS" vbProcedure="false">Inputs!$C$40</definedName>
    <definedName function="false" hidden="false" name="LAPTOP_H" vbProcedure="false">Inputs!$C$55</definedName>
    <definedName function="false" hidden="false" name="LAPTOP_LF" vbProcedure="false">Inputs!$C$54</definedName>
    <definedName function="false" hidden="false" name="LAPTOP_N" vbProcedure="false">Inputs!$C$56</definedName>
    <definedName function="false" hidden="false" name="LAPTOP_W" vbProcedure="false">Inputs!$C$53</definedName>
    <definedName function="false" hidden="false" name="LAUNDRY_WK" vbProcedure="false">Inputs!$C$89</definedName>
    <definedName function="false" hidden="false" name="LEAK" vbProcedure="false">Inputs!$C$31</definedName>
    <definedName function="false" hidden="false" name="LIFE_KG" vbProcedure="false">Lifestyle_Scope3!$F$10</definedName>
    <definedName function="false" hidden="false" name="MJ_PER_KWH" vbProcedure="false">Inputs!$C$15</definedName>
    <definedName function="false" hidden="false" name="MONTHS_IN_HK" vbProcedure="false">Inputs!$C$106</definedName>
    <definedName function="false" hidden="false" name="MTR_EF" vbProcedure="false">Inputs!$C$107</definedName>
    <definedName function="false" hidden="false" name="OCC" vbProcedure="false">Inputs!$C$6</definedName>
    <definedName function="false" hidden="false" name="OCC_SAT_H" vbProcedure="false">Inputs!$C$10</definedName>
    <definedName function="false" hidden="false" name="OCC_SUN_H" vbProcedure="false">Inputs!$C$11</definedName>
    <definedName function="false" hidden="false" name="OCC_WKDAY_H" vbProcedure="false">Inputs!$C$9</definedName>
    <definedName function="false" hidden="false" name="OTHER_L" vbProcedure="false">Inputs!$C$96</definedName>
    <definedName function="false" hidden="false" name="PAPER_EF" vbProcedure="false">Inputs!$C$28</definedName>
    <definedName function="false" hidden="false" name="PERSONAL_KG" vbProcedure="false">Lifestyle_Scope3!$B$26</definedName>
    <definedName function="false" hidden="false" name="PHONE_H" vbProcedure="false">Inputs!$C$58</definedName>
    <definedName function="false" hidden="false" name="PHONE_N" vbProcedure="false">Inputs!$C$59</definedName>
    <definedName function="false" hidden="false" name="PHONE_W" vbProcedure="false">Inputs!$C$57</definedName>
    <definedName function="false" hidden="false" name="RECYCLE" vbProcedure="false">Inputs!$C$101</definedName>
    <definedName function="false" hidden="false" name="ROOM_AREA" vbProcedure="false">Inputs!$C$12</definedName>
    <definedName function="false" hidden="false" name="ROOM_EUI_MJ" vbProcedure="false">Monthly!$Q$18</definedName>
    <definedName function="false" hidden="false" name="ROOM_KWH" vbProcedure="false">Inventory!$D$27</definedName>
    <definedName function="false" hidden="false" name="S1_KG" vbProcedure="false">GHG_Inventory!$B$53</definedName>
    <definedName function="false" hidden="false" name="S2_CLP" vbProcedure="false">GHG_Inventory!$B$54</definedName>
    <definedName function="false" hidden="false" name="S2_DEF" vbProcedure="false">GHG_Inventory!$C$54</definedName>
    <definedName function="false" hidden="false" name="S3_KG" vbProcedure="false">GHG_Inventory!$B$55</definedName>
    <definedName function="false" hidden="false" name="SEMS" vbProcedure="false">Inputs!$C$99</definedName>
    <definedName function="false" hidden="false" name="SEWER_FRAC" vbProcedure="false">Inputs!$C$27</definedName>
    <definedName function="false" hidden="false" name="SHARED_KWH" vbProcedure="false">Inventory!$D$32</definedName>
    <definedName function="false" hidden="false" name="SHEETS_SEM" vbProcedure="false">Inputs!$C$98</definedName>
    <definedName function="false" hidden="false" name="SHEET_G" vbProcedure="false">Inputs!$C$100</definedName>
    <definedName function="false" hidden="false" name="SHOWERS" vbProcedure="false">Inputs!$C$63</definedName>
    <definedName function="false" hidden="false" name="SHOWER_FLOW" vbProcedure="false">Inputs!$C$65</definedName>
    <definedName function="false" hidden="false" name="SHOWER_LPD" vbProcedure="false">HotWater!$E$6</definedName>
    <definedName function="false" hidden="false" name="SHOWER_MIN" vbProcedure="false">Inputs!$C$64</definedName>
    <definedName function="false" hidden="false" name="SHOWER_T" vbProcedure="false">Inputs!$C$66</definedName>
    <definedName function="false" hidden="false" name="TARIFF" vbProcedure="false">Inputs!$C$18</definedName>
    <definedName function="false" hidden="false" name="TARIFF_HIGH" vbProcedure="false">Inputs!$C$20</definedName>
    <definedName function="false" hidden="false" name="TARIFF_LOW" vbProcedure="false">Inputs!$C$19</definedName>
    <definedName function="false" hidden="false" name="TOT_CLP" vbProcedure="false">GHG_Inventory!$B$56</definedName>
    <definedName function="false" hidden="false" name="TOT_DEF" vbProcedure="false">GHG_Inventory!$C$56</definedName>
    <definedName function="false" hidden="false" name="WASH_KWH" vbProcedure="false">Inputs!$C$90</definedName>
    <definedName function="false" hidden="false" name="WASH_L" vbProcedure="false">Inputs!$C$93</definedName>
    <definedName function="false" hidden="false" name="WEEKS" vbProcedure="false">Inputs!$C$104</definedName>
    <definedName function="false" hidden="false" name="WR_FAN_H" vbProcedure="false">Inputs!$C$70</definedName>
    <definedName function="false" hidden="false" name="WR_FAN_W" vbProcedure="false">Inputs!$C$69</definedName>
    <definedName function="false" hidden="false" name="WR_LIGHT_H" vbProcedure="false">Inputs!$C$73</definedName>
    <definedName function="false" hidden="false" name="WR_LIGHT_N" vbProcedure="false">Inputs!$C$71</definedName>
    <definedName function="false" hidden="false" name="WR_LIGHT_W" vbProcedure="false">Inputs!$C$72</definedName>
    <definedName function="false" hidden="false" name="WR_USERS" vbProcedure="false">Inputs!$C$7</definedName>
    <definedName function="false" hidden="false" name="WSD_FRESH" vbProcedure="false">Inputs!$C$24</definedName>
    <definedName function="false" hidden="false" name="WSD_SALT" vbProcedure="false">Inputs!$C$25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<sst xmlns="http://schemas.openxmlformats.org/spreadsheetml/2006/main" count="2110" uniqueCount="1397">
  <si>
    <t xml:space="preserve">Home Energy Audit [2] - Dorm Room Energy &amp; Carbon Audit Workbook</t>
  </si>
  <si>
    <t xml:space="preserve">Jayash Sahu | SEE8115 | Hall 13, CityU Lee Shau Kee Student Residence Village, Room 1003B, 10/F | Ma On Shan, New Territories, Hong Kong</t>
  </si>
  <si>
    <t xml:space="preserve">Purpose</t>
  </si>
  <si>
    <t xml:space="preserve">Systematic energy assessment of the auditor's home (a shared student-hostel room) following the EMSD Code of Practice for Building Energy Audit (EAC 2018) and the EPD/EMSD GHG Guidelines for Buildings in Hong Kong: baseline consumption, consumption patterns, carbon inventory and Energy Management Opportunities.</t>
  </si>
  <si>
    <t xml:space="preserve">Boundary</t>
  </si>
  <si>
    <t xml:space="preserve">Household = Room 1003B (15 m², 2 occupants) + allocated shares of the shared washroom (4 users) and floor kitchen (32 residents) + the household's own hall-laundry use. Hall common services (lifts, corridors, central plant) are outside the boundary.</t>
  </si>
  <si>
    <t xml:space="preserve">Period</t>
  </si>
  <si>
    <t xml:space="preserve">Data collected 1 Jan - 11 Oct 2026; results expressed as a typical 12-month baseline year.</t>
  </si>
  <si>
    <t xml:space="preserve">Colour legend</t>
  </si>
  <si>
    <t xml:space="preserve">Blue text = input</t>
  </si>
  <si>
    <t xml:space="preserve">Yellow fill = assumption</t>
  </si>
  <si>
    <t xml:space="preserve">Black = formula</t>
  </si>
  <si>
    <t xml:space="preserve">Green = link to another sheet</t>
  </si>
  <si>
    <t xml:space="preserve">Key results (all live formulas)</t>
  </si>
  <si>
    <t xml:space="preserve">Indicator</t>
  </si>
  <si>
    <t xml:space="preserve">Value</t>
  </si>
  <si>
    <t xml:space="preserve">Unit</t>
  </si>
  <si>
    <t xml:space="preserve">Where calculated</t>
  </si>
  <si>
    <t xml:space="preserve">Room AC energy (baseline, Octopus spend)</t>
  </si>
  <si>
    <t xml:space="preserve">kWh/yr</t>
  </si>
  <si>
    <t xml:space="preserve">AC_Baseline</t>
  </si>
  <si>
    <t xml:space="preserve">Room AC energy, bottom-up energy-label check</t>
  </si>
  <si>
    <t xml:space="preserve">Household electricity (room + allocated shared services)</t>
  </si>
  <si>
    <t xml:space="preserve">Inventory</t>
  </si>
  <si>
    <t xml:space="preserve">  of which inside the 15 m² room</t>
  </si>
  <si>
    <t xml:space="preserve">Electricity per person</t>
  </si>
  <si>
    <t xml:space="preserve">kWh/person/yr</t>
  </si>
  <si>
    <t xml:space="preserve">Room EUI</t>
  </si>
  <si>
    <t xml:space="preserve">MJ/m²/yr</t>
  </si>
  <si>
    <t xml:space="preserve">Monthly / Breakdown</t>
  </si>
  <si>
    <t xml:space="preserve">Scope 1 (refrigerant screening)</t>
  </si>
  <si>
    <t xml:space="preserve">kg CO2e/yr</t>
  </si>
  <si>
    <t xml:space="preserve">GHG_Inventory</t>
  </si>
  <si>
    <t xml:space="preserve">Scope 2 - CLP-specific factor 0.34</t>
  </si>
  <si>
    <t xml:space="preserve">Scope 2 - territory default 0.7</t>
  </si>
  <si>
    <t xml:space="preserve">Scope 3 (water, sewage, paper)</t>
  </si>
  <si>
    <t xml:space="preserve">Household total (CLP basis)</t>
  </si>
  <si>
    <t xml:space="preserve">Household total (default basis)</t>
  </si>
  <si>
    <t xml:space="preserve">Per person (CLP basis)</t>
  </si>
  <si>
    <t xml:space="preserve">kg CO2e/person/yr</t>
  </si>
  <si>
    <t xml:space="preserve">Daily-activity extension (auditor)</t>
  </si>
  <si>
    <t xml:space="preserve">Lifestyle_Scope3</t>
  </si>
  <si>
    <t xml:space="preserve">Auditor's personal total</t>
  </si>
  <si>
    <t xml:space="preserve">Category I EMO saving (household)</t>
  </si>
  <si>
    <t xml:space="preserve">EMO_Register</t>
  </si>
  <si>
    <t xml:space="preserve">Category I EMO saving as % of household electricity</t>
  </si>
  <si>
    <t xml:space="preserve">%</t>
  </si>
  <si>
    <t xml:space="preserve">Sheet guide</t>
  </si>
  <si>
    <t xml:space="preserve">Inputs</t>
  </si>
  <si>
    <t xml:space="preserve">All inputs with unit, data quality and source; HKO 1991-2020 monthly temperatures</t>
  </si>
  <si>
    <t xml:space="preserve">Room AC: top-down (Octopus spend) vs bottom-up (HK energy label) reconciliation</t>
  </si>
  <si>
    <t xml:space="preserve">HotWater</t>
  </si>
  <si>
    <t xml:space="preserve">Monthly shower hot-water energy from first principles</t>
  </si>
  <si>
    <t xml:space="preserve">Equipment inventory with allocation of shared services (EAC Step 1-2)</t>
  </si>
  <si>
    <t xml:space="preserve">Monthly</t>
  </si>
  <si>
    <t xml:space="preserve">Monthly profile, monthly EUI and emissions</t>
  </si>
  <si>
    <t xml:space="preserve">Breakdown</t>
  </si>
  <si>
    <t xml:space="preserve">End-use and EAC-category breakdown, KPIs and HK benchmarks</t>
  </si>
  <si>
    <t xml:space="preserve">Scope 1-2-3 inventory in HK GHG Guidelines table format</t>
  </si>
  <si>
    <t xml:space="preserve">Auditor's commuting, flights and diet (reported separately)</t>
  </si>
  <si>
    <t xml:space="preserve">18 EMOs by EAC category, with savings, costs, payback and CO2e</t>
  </si>
  <si>
    <t xml:space="preserve">Sensitivity</t>
  </si>
  <si>
    <t xml:space="preserve">One-at-a-time sensitivity of the key assumptions</t>
  </si>
  <si>
    <t xml:space="preserve">EE-EAes_Summary</t>
  </si>
  <si>
    <t xml:space="preserve">Executive summary in the structure of EMSD form EE-EAes</t>
  </si>
  <si>
    <t xml:space="preserve">EE-EAes_Entry_Guide</t>
  </si>
  <si>
    <t xml:space="preserve">Cell-by-cell values to type into the official macro-enabled EE-EAes form</t>
  </si>
  <si>
    <t xml:space="preserve">Photo_Log</t>
  </si>
  <si>
    <t xml:space="preserve">Evidence photographs and the data taken from each</t>
  </si>
  <si>
    <t xml:space="preserve">Sources</t>
  </si>
  <si>
    <t xml:space="preserve">Full references with URLs</t>
  </si>
  <si>
    <t xml:space="preserve">Inputs &amp; assumptions</t>
  </si>
  <si>
    <t xml:space="preserve">Blue = input value; yellow fill = assumed typical value (flagged in the report); every formula in the workbook points here.</t>
  </si>
  <si>
    <t xml:space="preserve">Name</t>
  </si>
  <si>
    <t xml:space="preserve">Parameter</t>
  </si>
  <si>
    <t xml:space="preserve">Data quality</t>
  </si>
  <si>
    <t xml:space="preserve">Source</t>
  </si>
  <si>
    <t xml:space="preserve">Notes</t>
  </si>
  <si>
    <t xml:space="preserve">Month</t>
  </si>
  <si>
    <t xml:space="preserve">Days</t>
  </si>
  <si>
    <t xml:space="preserve">Hot season (1 = May-Oct)</t>
  </si>
  <si>
    <t xml:space="preserve">HKO mean air temp (°C)</t>
  </si>
  <si>
    <t xml:space="preserve">Boundary &amp; occupancy</t>
  </si>
  <si>
    <t xml:space="preserve">Jan</t>
  </si>
  <si>
    <t xml:space="preserve">OCC</t>
  </si>
  <si>
    <t xml:space="preserve">Occupants of Room 1003B (household)</t>
  </si>
  <si>
    <t xml:space="preserve">persons</t>
  </si>
  <si>
    <t xml:space="preserve">Reported</t>
  </si>
  <si>
    <t xml:space="preserve">S29</t>
  </si>
  <si>
    <t xml:space="preserve">Auditor + 1 roommate</t>
  </si>
  <si>
    <t xml:space="preserve">Feb</t>
  </si>
  <si>
    <t xml:space="preserve">WR_USERS</t>
  </si>
  <si>
    <t xml:space="preserve">Users of the shared washroom</t>
  </si>
  <si>
    <t xml:space="preserve">Shared by 4 residents</t>
  </si>
  <si>
    <t xml:space="preserve">Mar</t>
  </si>
  <si>
    <t xml:space="preserve">KIT_USERS</t>
  </si>
  <si>
    <t xml:space="preserve">Residents sharing the floor kitchen (allocation basis)</t>
  </si>
  <si>
    <t xml:space="preserve">~20 use it actively; allocation is per resident with access</t>
  </si>
  <si>
    <t xml:space="preserve">Apr</t>
  </si>
  <si>
    <t xml:space="preserve">OCC_WKDAY_H</t>
  </si>
  <si>
    <t xml:space="preserve">Hours in room per weekday (22:00-11:00)</t>
  </si>
  <si>
    <t xml:space="preserve">h/day</t>
  </si>
  <si>
    <t xml:space="preserve">Q13</t>
  </si>
  <si>
    <t xml:space="preserve">May</t>
  </si>
  <si>
    <t xml:space="preserve">OCC_SAT_H</t>
  </si>
  <si>
    <t xml:space="preserve">Hours in room on Saturday</t>
  </si>
  <si>
    <t xml:space="preserve">Q14</t>
  </si>
  <si>
    <t xml:space="preserve">Jun</t>
  </si>
  <si>
    <t xml:space="preserve">OCC_SUN_H</t>
  </si>
  <si>
    <t xml:space="preserve">Hours in room on Sunday</t>
  </si>
  <si>
    <t xml:space="preserve">Jul</t>
  </si>
  <si>
    <t xml:space="preserve">ROOM_AREA</t>
  </si>
  <si>
    <t xml:space="preserve">Internal floor area of Room 1003B</t>
  </si>
  <si>
    <t xml:space="preserve">m2</t>
  </si>
  <si>
    <t xml:space="preserve">Approximate, from hall information</t>
  </si>
  <si>
    <t xml:space="preserve">Aug</t>
  </si>
  <si>
    <t xml:space="preserve">DAYS_HOT</t>
  </si>
  <si>
    <t xml:space="preserve">Days in hot season (May-Oct)</t>
  </si>
  <si>
    <t xml:space="preserve">days</t>
  </si>
  <si>
    <t xml:space="preserve">Derived</t>
  </si>
  <si>
    <t xml:space="preserve">31+30+31+31+30+31</t>
  </si>
  <si>
    <t xml:space="preserve">Sep</t>
  </si>
  <si>
    <t xml:space="preserve">DAYS_COOL</t>
  </si>
  <si>
    <t xml:space="preserve">Days in cool season (Nov-Apr)</t>
  </si>
  <si>
    <t xml:space="preserve">30+31+31+28+31+30</t>
  </si>
  <si>
    <t xml:space="preserve">Oct</t>
  </si>
  <si>
    <t xml:space="preserve">MJ_PER_KWH</t>
  </si>
  <si>
    <t xml:space="preserve">Energy conversion</t>
  </si>
  <si>
    <t xml:space="preserve">MJ/kWh</t>
  </si>
  <si>
    <t xml:space="preserve">Published</t>
  </si>
  <si>
    <t xml:space="preserve">S3</t>
  </si>
  <si>
    <t xml:space="preserve">Per EE-EAes Part 2</t>
  </si>
  <si>
    <t xml:space="preserve">Nov</t>
  </si>
  <si>
    <t xml:space="preserve">CP_WATER</t>
  </si>
  <si>
    <t xml:space="preserve">Specific heat of water</t>
  </si>
  <si>
    <t xml:space="preserve">kJ/kg.K</t>
  </si>
  <si>
    <t xml:space="preserve">Physical constant (1 L = 1 kg)</t>
  </si>
  <si>
    <t xml:space="preserve">Dec</t>
  </si>
  <si>
    <t xml:space="preserve">Tariff &amp; emission factors</t>
  </si>
  <si>
    <t xml:space="preserve">Year</t>
  </si>
  <si>
    <t xml:space="preserve">TARIFF</t>
  </si>
  <si>
    <t xml:space="preserve">Electricity price used to convert AC spend to kWh (proxy)</t>
  </si>
  <si>
    <t xml:space="preserve">HK$/kWh</t>
  </si>
  <si>
    <t xml:space="preserve">S6</t>
  </si>
  <si>
    <t xml:space="preserve">CLP 2026 average net tariff; CityU's own Octopus AC rate not published - see Sensitivity</t>
  </si>
  <si>
    <t xml:space="preserve">S8: HKO 1991-2020 normals (HKO HQ), day-weighted from 10-day &amp; half-monthly normals; annual mean 23.5 °C.</t>
  </si>
  <si>
    <t xml:space="preserve">TARIFF_LOW</t>
  </si>
  <si>
    <t xml:space="preserve">Comparator hostel AC rate - low</t>
  </si>
  <si>
    <t xml:space="preserve">S25</t>
  </si>
  <si>
    <t xml:space="preserve">CUHK hostels</t>
  </si>
  <si>
    <t xml:space="preserve">TARIFF_HIGH</t>
  </si>
  <si>
    <t xml:space="preserve">Comparator hostel AC rate - high</t>
  </si>
  <si>
    <t xml:space="preserve">HKU JCSV IV</t>
  </si>
  <si>
    <t xml:space="preserve">EF_CLP</t>
  </si>
  <si>
    <t xml:space="preserve">CLP Power HK emission factor (2025, latest)</t>
  </si>
  <si>
    <t xml:space="preserve">kg CO2e/kWh</t>
  </si>
  <si>
    <t xml:space="preserve">S5</t>
  </si>
  <si>
    <t xml:space="preserve">Power-company-specific factor (Guideline Table 5)</t>
  </si>
  <si>
    <t xml:space="preserve">EF_CLP_PREV</t>
  </si>
  <si>
    <t xml:space="preserve">CLP Power HK emission factor (2024)</t>
  </si>
  <si>
    <t xml:space="preserve">For sensitivity</t>
  </si>
  <si>
    <t xml:space="preserve">EF_DEFAULT</t>
  </si>
  <si>
    <t xml:space="preserve">Territory-wide default electricity factor</t>
  </si>
  <si>
    <t xml:space="preserve">S2</t>
  </si>
  <si>
    <t xml:space="preserve">Guideline Table 5 - must also be reported</t>
  </si>
  <si>
    <t xml:space="preserve">WSD_FRESH</t>
  </si>
  <si>
    <t xml:space="preserve">WSD unit electricity - fresh water</t>
  </si>
  <si>
    <t xml:space="preserve">kWh/m3</t>
  </si>
  <si>
    <t xml:space="preserve">S11</t>
  </si>
  <si>
    <t xml:space="preserve">x 0.7 kg/kWh per Guideline Table 8</t>
  </si>
  <si>
    <t xml:space="preserve">WSD_SALT</t>
  </si>
  <si>
    <t xml:space="preserve">WSD unit electricity - salt (flushing) water</t>
  </si>
  <si>
    <t xml:space="preserve">x 0.7 kg/kWh (optional item)</t>
  </si>
  <si>
    <t xml:space="preserve">DSD_KWH</t>
  </si>
  <si>
    <t xml:space="preserve">DSD unit electricity - sewage treated</t>
  </si>
  <si>
    <t xml:space="preserve">S12</t>
  </si>
  <si>
    <t xml:space="preserve">x 0.7 kg/kWh per Guideline Table 9</t>
  </si>
  <si>
    <t xml:space="preserve">SEWER_FRAC</t>
  </si>
  <si>
    <t xml:space="preserve">Fraction of fresh water entering sewer (residential)</t>
  </si>
  <si>
    <t xml:space="preserve">-</t>
  </si>
  <si>
    <t xml:space="preserve">Guideline Table 9 note</t>
  </si>
  <si>
    <t xml:space="preserve">PAPER_EF</t>
  </si>
  <si>
    <t xml:space="preserve">Paper to landfill emission factor</t>
  </si>
  <si>
    <t xml:space="preserve">kg CO2e/kg</t>
  </si>
  <si>
    <t xml:space="preserve">Guideline Table 7</t>
  </si>
  <si>
    <t xml:space="preserve">GWP_R32</t>
  </si>
  <si>
    <t xml:space="preserve">GWP of HFC-32 (R32)</t>
  </si>
  <si>
    <t xml:space="preserve">Guideline Table 3-1</t>
  </si>
  <si>
    <t xml:space="preserve">GWP_R410A</t>
  </si>
  <si>
    <t xml:space="preserve">GWP of R-410A</t>
  </si>
  <si>
    <t xml:space="preserve">LEAK</t>
  </si>
  <si>
    <t xml:space="preserve">Annual refrigerant leak rate (screening)</t>
  </si>
  <si>
    <t xml:space="preserve">fraction/yr</t>
  </si>
  <si>
    <t xml:space="preserve">S21</t>
  </si>
  <si>
    <t xml:space="preserve">IPCC 2006 range 1-10%; 4% typical for developed economies</t>
  </si>
  <si>
    <t xml:space="preserve">Room air-conditioner</t>
  </si>
  <si>
    <t xml:space="preserve">AC_SPEND_HOT</t>
  </si>
  <si>
    <t xml:space="preserve">Octopus AC spend - hot month (May-Oct), both occupants</t>
  </si>
  <si>
    <t xml:space="preserve">HK$/month</t>
  </si>
  <si>
    <t xml:space="preserve">Q18</t>
  </si>
  <si>
    <t xml:space="preserve">AC_SPEND_COOL</t>
  </si>
  <si>
    <t xml:space="preserve">Octopus AC spend - cool month (Nov-Apr), both occupants</t>
  </si>
  <si>
    <t xml:space="preserve">AC_SPEND_STATED</t>
  </si>
  <si>
    <t xml:space="preserve">Stated overall average AC spend</t>
  </si>
  <si>
    <t xml:space="preserve">Initial answer - used as upper-bound scenario</t>
  </si>
  <si>
    <t xml:space="preserve">AC_RATED_KW</t>
  </si>
  <si>
    <t xml:space="preserve">Rated input power (cooling)</t>
  </si>
  <si>
    <t xml:space="preserve">kW</t>
  </si>
  <si>
    <t xml:space="preserve">Nameplate / label</t>
  </si>
  <si>
    <t xml:space="preserve">S28</t>
  </si>
  <si>
    <t xml:space="preserve">Midea MW-12CRF8E</t>
  </si>
  <si>
    <t xml:space="preserve">AC_CAP_KW</t>
  </si>
  <si>
    <t xml:space="preserve">Rated cooling capacity</t>
  </si>
  <si>
    <t xml:space="preserve">11,400 Btu/h</t>
  </si>
  <si>
    <t xml:space="preserve">AC_CSPF</t>
  </si>
  <si>
    <t xml:space="preserve">Cooling seasonal performance factor</t>
  </si>
  <si>
    <t xml:space="preserve">HK Energy Label Grade 1</t>
  </si>
  <si>
    <t xml:space="preserve">AC_LABEL_KWH</t>
  </si>
  <si>
    <t xml:space="preserve">Label annual energy consumption (cooling)</t>
  </si>
  <si>
    <t xml:space="preserve">Basis 1,200 h/yr</t>
  </si>
  <si>
    <t xml:space="preserve">LABEL_HOURS</t>
  </si>
  <si>
    <t xml:space="preserve">Operating hours behind HK label figure</t>
  </si>
  <si>
    <t xml:space="preserve">h/yr</t>
  </si>
  <si>
    <t xml:space="preserve">S9</t>
  </si>
  <si>
    <t xml:space="preserve">EMSD label basis</t>
  </si>
  <si>
    <t xml:space="preserve">AC_H_HOT</t>
  </si>
  <si>
    <t xml:space="preserve">AC operating hours - typical hot-season day</t>
  </si>
  <si>
    <t xml:space="preserve">Q20 (on all night)</t>
  </si>
  <si>
    <t xml:space="preserve">AC_H_COOL</t>
  </si>
  <si>
    <t xml:space="preserve">AC operating hours - typical cool-season day</t>
  </si>
  <si>
    <t xml:space="preserve">Q20</t>
  </si>
  <si>
    <t xml:space="preserve">AC_SETPOINT</t>
  </si>
  <si>
    <t xml:space="preserve">Usual set-point</t>
  </si>
  <si>
    <t xml:space="preserve">degC</t>
  </si>
  <si>
    <t xml:space="preserve">Q19</t>
  </si>
  <si>
    <t xml:space="preserve">AC_CHARGE</t>
  </si>
  <si>
    <t xml:space="preserve">Refrigerant charge (R32) - screening value</t>
  </si>
  <si>
    <t xml:space="preserve">kg</t>
  </si>
  <si>
    <t xml:space="preserve">Assumed</t>
  </si>
  <si>
    <t xml:space="preserve">Typical for 1.5 HP R32 window unit; not on photographed label</t>
  </si>
  <si>
    <t xml:space="preserve">DEG_SAVING</t>
  </si>
  <si>
    <t xml:space="preserve">AC energy saving per +1 degC set-point</t>
  </si>
  <si>
    <t xml:space="preserve">fraction</t>
  </si>
  <si>
    <t xml:space="preserve">S14</t>
  </si>
  <si>
    <t xml:space="preserve">HK Government figure</t>
  </si>
  <si>
    <t xml:space="preserve">Room lighting &amp; plug loads</t>
  </si>
  <si>
    <t xml:space="preserve">CEIL_N</t>
  </si>
  <si>
    <t xml:space="preserve">Ceiling LED linear battens</t>
  </si>
  <si>
    <t xml:space="preserve">no.</t>
  </si>
  <si>
    <t xml:space="preserve">Photo 05</t>
  </si>
  <si>
    <t xml:space="preserve">CEIL_W</t>
  </si>
  <si>
    <t xml:space="preserve">Power per ceiling batten</t>
  </si>
  <si>
    <t xml:space="preserve">W</t>
  </si>
  <si>
    <t xml:space="preserve">Typical 1.2 m LED batten; no label visible</t>
  </si>
  <si>
    <t xml:space="preserve">CEIL_H</t>
  </si>
  <si>
    <t xml:space="preserve">Ceiling lights on</t>
  </si>
  <si>
    <t xml:space="preserve">Q25</t>
  </si>
  <si>
    <t xml:space="preserve">DESK_N</t>
  </si>
  <si>
    <t xml:space="preserve">Under-shelf LED desk lights</t>
  </si>
  <si>
    <t xml:space="preserve">Q24</t>
  </si>
  <si>
    <t xml:space="preserve">DESK_W</t>
  </si>
  <si>
    <t xml:space="preserve">Power per desk light</t>
  </si>
  <si>
    <t xml:space="preserve">Typical 60 cm LED strip</t>
  </si>
  <si>
    <t xml:space="preserve">DESK_H</t>
  </si>
  <si>
    <t xml:space="preserve">Desk lights on</t>
  </si>
  <si>
    <t xml:space="preserve">Not reported</t>
  </si>
  <si>
    <t xml:space="preserve">LAPTOP_W</t>
  </si>
  <si>
    <t xml:space="preserve">Laptop adapter rating</t>
  </si>
  <si>
    <t xml:space="preserve">HP TPN-CA17, Efficiency Level VI</t>
  </si>
  <si>
    <t xml:space="preserve">LAPTOP_LF</t>
  </si>
  <si>
    <t xml:space="preserve">Average laptop draw as fraction of adapter rating</t>
  </si>
  <si>
    <t xml:space="preserve">Adapter is sized for peak charging</t>
  </si>
  <si>
    <t xml:space="preserve">LAPTOP_H</t>
  </si>
  <si>
    <t xml:space="preserve">Laptop use</t>
  </si>
  <si>
    <t xml:space="preserve">Q27</t>
  </si>
  <si>
    <t xml:space="preserve">LAPTOP_N</t>
  </si>
  <si>
    <t xml:space="preserve">Laptops in room (roommate assumed same as auditor)</t>
  </si>
  <si>
    <t xml:space="preserve">Representative-occupant assumption</t>
  </si>
  <si>
    <t xml:space="preserve">PHONE_W</t>
  </si>
  <si>
    <t xml:space="preserve">Phone charger power</t>
  </si>
  <si>
    <t xml:space="preserve">Typical fast charger</t>
  </si>
  <si>
    <t xml:space="preserve">PHONE_H</t>
  </si>
  <si>
    <t xml:space="preserve">Phone charging</t>
  </si>
  <si>
    <t xml:space="preserve">Q29</t>
  </si>
  <si>
    <t xml:space="preserve">PHONE_N</t>
  </si>
  <si>
    <t xml:space="preserve">Phones charged (both occupants)</t>
  </si>
  <si>
    <t xml:space="preserve">FAN_W</t>
  </si>
  <si>
    <t xml:space="preserve">Desk fan rated power</t>
  </si>
  <si>
    <t xml:space="preserve">ZW02-180, 220 V 50 Hz</t>
  </si>
  <si>
    <t xml:space="preserve">FAN_H</t>
  </si>
  <si>
    <t xml:space="preserve">Desk fan use</t>
  </si>
  <si>
    <t xml:space="preserve">Q22</t>
  </si>
  <si>
    <t xml:space="preserve">Shared washroom</t>
  </si>
  <si>
    <t xml:space="preserve">SHOWERS</t>
  </si>
  <si>
    <t xml:space="preserve">Showers per person per day</t>
  </si>
  <si>
    <t xml:space="preserve">no./day</t>
  </si>
  <si>
    <t xml:space="preserve">Q34</t>
  </si>
  <si>
    <t xml:space="preserve">SHOWER_MIN</t>
  </si>
  <si>
    <t xml:space="preserve">Shower duration</t>
  </si>
  <si>
    <t xml:space="preserve">min</t>
  </si>
  <si>
    <t xml:space="preserve">SHOWER_FLOW</t>
  </si>
  <si>
    <t xml:space="preserve">Shower flow rate</t>
  </si>
  <si>
    <t xml:space="preserve">L/min</t>
  </si>
  <si>
    <t xml:space="preserve">Typical modern showerhead; bucket test recommended</t>
  </si>
  <si>
    <t xml:space="preserve">SHOWER_T</t>
  </si>
  <si>
    <t xml:space="preserve">Delivered shower temperature</t>
  </si>
  <si>
    <t xml:space="preserve">Typical comfortable shower</t>
  </si>
  <si>
    <t xml:space="preserve">HEATER_EFF</t>
  </si>
  <si>
    <t xml:space="preserve">Instantaneous heater efficiency</t>
  </si>
  <si>
    <t xml:space="preserve">S16</t>
  </si>
  <si>
    <t xml:space="preserve">Electronic instantaneous unit, negligible standing loss</t>
  </si>
  <si>
    <t xml:space="preserve">HEATER_KW</t>
  </si>
  <si>
    <t xml:space="preserve">Water heater rating at 380 V</t>
  </si>
  <si>
    <t xml:space="preserve">Stiebel Eltron DHB-E 27</t>
  </si>
  <si>
    <t xml:space="preserve">WR_FAN_W</t>
  </si>
  <si>
    <t xml:space="preserve">Washroom exhaust fan power</t>
  </si>
  <si>
    <t xml:space="preserve">J.E.E. window-type exhaust fan; label not visible</t>
  </si>
  <si>
    <t xml:space="preserve">WR_FAN_H</t>
  </si>
  <si>
    <t xml:space="preserve">Exhaust fan running</t>
  </si>
  <si>
    <t xml:space="preserve">Q35 - always on</t>
  </si>
  <si>
    <t xml:space="preserve">WR_LIGHT_N</t>
  </si>
  <si>
    <t xml:space="preserve">LED downlights</t>
  </si>
  <si>
    <t xml:space="preserve">Photos 08</t>
  </si>
  <si>
    <t xml:space="preserve">WR_LIGHT_W</t>
  </si>
  <si>
    <t xml:space="preserve">Power per downlight</t>
  </si>
  <si>
    <t xml:space="preserve">Typical LED downlight</t>
  </si>
  <si>
    <t xml:space="preserve">WR_LIGHT_H</t>
  </si>
  <si>
    <t xml:space="preserve">Sensor lights on</t>
  </si>
  <si>
    <t xml:space="preserve">Q26</t>
  </si>
  <si>
    <t xml:space="preserve">Shared kitchen</t>
  </si>
  <si>
    <t xml:space="preserve">FRIDGE_N</t>
  </si>
  <si>
    <t xml:space="preserve">Refrigerators</t>
  </si>
  <si>
    <t xml:space="preserve">Panasonic NR-BV361B, Grade 1</t>
  </si>
  <si>
    <t xml:space="preserve">FRIDGE_KWH</t>
  </si>
  <si>
    <t xml:space="preserve">Label consumption per refrigerator</t>
  </si>
  <si>
    <t xml:space="preserve">EMSD label U1-R230007/2023</t>
  </si>
  <si>
    <t xml:space="preserve">DISP_KWH_DAY</t>
  </si>
  <si>
    <t xml:space="preserve">Water dispenser standby + dispensing energy</t>
  </si>
  <si>
    <t xml:space="preserve">kWh/day</t>
  </si>
  <si>
    <t xml:space="preserve">S20</t>
  </si>
  <si>
    <t xml:space="preserve">3-temperature unit (10 L hot at 98 degC + ice); ENERGY STAR hot&amp;cold limit 0.87</t>
  </si>
  <si>
    <t xml:space="preserve">KAC_LABEL_KWH</t>
  </si>
  <si>
    <t xml:space="preserve">Kitchen split AC label consumption</t>
  </si>
  <si>
    <t xml:space="preserve">Toshiba RAS-24J2KCV-HK, 7.00 kW, R410A</t>
  </si>
  <si>
    <t xml:space="preserve">KAC_H_HOT</t>
  </si>
  <si>
    <t xml:space="preserve">Kitchen AC running - hot season</t>
  </si>
  <si>
    <t xml:space="preserve">Q46 - '8 hrs+, people don't turn it off'</t>
  </si>
  <si>
    <t xml:space="preserve">KAC_H_COOL</t>
  </si>
  <si>
    <t xml:space="preserve">Kitchen AC running - cool season</t>
  </si>
  <si>
    <t xml:space="preserve">Half of hot-season hours</t>
  </si>
  <si>
    <t xml:space="preserve">KAC_CHARGE</t>
  </si>
  <si>
    <t xml:space="preserve">Kitchen AC refrigerant charge (R410A) - screening</t>
  </si>
  <si>
    <t xml:space="preserve">Typical 7 kW split</t>
  </si>
  <si>
    <t xml:space="preserve">KLIGHT_N</t>
  </si>
  <si>
    <t xml:space="preserve">Kitchen light fittings</t>
  </si>
  <si>
    <t xml:space="preserve">Not photographed</t>
  </si>
  <si>
    <t xml:space="preserve">KLIGHT_W</t>
  </si>
  <si>
    <t xml:space="preserve">Power per kitchen fitting</t>
  </si>
  <si>
    <t xml:space="preserve">Typical LED</t>
  </si>
  <si>
    <t xml:space="preserve">KLIGHT_H</t>
  </si>
  <si>
    <t xml:space="preserve">Kitchen lights on</t>
  </si>
  <si>
    <t xml:space="preserve">Shared space in frequent use</t>
  </si>
  <si>
    <t xml:space="preserve">COOK_SESS</t>
  </si>
  <si>
    <t xml:space="preserve">Cooking sessions per person</t>
  </si>
  <si>
    <t xml:space="preserve">per week</t>
  </si>
  <si>
    <t xml:space="preserve">Q37</t>
  </si>
  <si>
    <t xml:space="preserve">COOK_H</t>
  </si>
  <si>
    <t xml:space="preserve">Induction hob on per session</t>
  </si>
  <si>
    <t xml:space="preserve">h</t>
  </si>
  <si>
    <t xml:space="preserve">COOK_KW</t>
  </si>
  <si>
    <t xml:space="preserve">Average hob power while cooking</t>
  </si>
  <si>
    <t xml:space="preserve">Philips HD4911 levels 400-2,100 W; mix of boil and simmer</t>
  </si>
  <si>
    <t xml:space="preserve">Hall laundry</t>
  </si>
  <si>
    <t xml:space="preserve">LAUNDRY_WK</t>
  </si>
  <si>
    <t xml:space="preserve">Laundry loads per person</t>
  </si>
  <si>
    <t xml:space="preserve">Q39 (4 kg, 45 min wash)</t>
  </si>
  <si>
    <t xml:space="preserve">WASH_KWH</t>
  </si>
  <si>
    <t xml:space="preserve">Washer energy per cycle (cold wash)</t>
  </si>
  <si>
    <t xml:space="preserve">kWh/cycle</t>
  </si>
  <si>
    <t xml:space="preserve">Motor + controls, no water heating</t>
  </si>
  <si>
    <t xml:space="preserve">DRY_KW</t>
  </si>
  <si>
    <t xml:space="preserve">Tumble-dryer heater + drum power</t>
  </si>
  <si>
    <t xml:space="preserve">Typical electric dryer</t>
  </si>
  <si>
    <t xml:space="preserve">DRY_MIN</t>
  </si>
  <si>
    <t xml:space="preserve">Drying time per load</t>
  </si>
  <si>
    <t xml:space="preserve">Q39</t>
  </si>
  <si>
    <t xml:space="preserve">WASH_L</t>
  </si>
  <si>
    <t xml:space="preserve">Water per wash</t>
  </si>
  <si>
    <t xml:space="preserve">L/cycle</t>
  </si>
  <si>
    <t xml:space="preserve">Front-loader, part load</t>
  </si>
  <si>
    <t xml:space="preserve">Water &amp; paper</t>
  </si>
  <si>
    <t xml:space="preserve">DRINK_L</t>
  </si>
  <si>
    <t xml:space="preserve">Drinking water</t>
  </si>
  <si>
    <t xml:space="preserve">L/person/day</t>
  </si>
  <si>
    <t xml:space="preserve">Q40 (filtered, from dispenser)</t>
  </si>
  <si>
    <t xml:space="preserve">OTHER_L</t>
  </si>
  <si>
    <t xml:space="preserve">Basin, cooking &amp; dish-washing water</t>
  </si>
  <si>
    <t xml:space="preserve">Typical</t>
  </si>
  <si>
    <t xml:space="preserve">FLUSH_L</t>
  </si>
  <si>
    <t xml:space="preserve">Toilet flushing (seawater)</t>
  </si>
  <si>
    <t xml:space="preserve">S13</t>
  </si>
  <si>
    <t xml:space="preserve">5 flushes x 6 L; ~85% of HK uses seawater</t>
  </si>
  <si>
    <t xml:space="preserve">SHEETS_SEM</t>
  </si>
  <si>
    <t xml:space="preserve">Paper used per semester (50 printed + 50 written)</t>
  </si>
  <si>
    <t xml:space="preserve">sheets</t>
  </si>
  <si>
    <t xml:space="preserve">Q41</t>
  </si>
  <si>
    <t xml:space="preserve">SEMS</t>
  </si>
  <si>
    <t xml:space="preserve">Semesters per year</t>
  </si>
  <si>
    <t xml:space="preserve">SHEET_G</t>
  </si>
  <si>
    <t xml:space="preserve">Mass of one A4 80 g/m2 sheet</t>
  </si>
  <si>
    <t xml:space="preserve">g</t>
  </si>
  <si>
    <t xml:space="preserve">0.0624 m2 x 80 g/m2</t>
  </si>
  <si>
    <t xml:space="preserve">RECYCLE</t>
  </si>
  <si>
    <t xml:space="preserve">Share of used paper recycled</t>
  </si>
  <si>
    <t xml:space="preserve">Auditor recycles; half assumed retained/landfilled</t>
  </si>
  <si>
    <t xml:space="preserve">Daily-activity extension</t>
  </si>
  <si>
    <t xml:space="preserve">COMMUTE_KM_WK</t>
  </si>
  <si>
    <t xml:space="preserve">MTR commute distance (18 km x 2 x 6 days)</t>
  </si>
  <si>
    <t xml:space="preserve">km/week</t>
  </si>
  <si>
    <t xml:space="preserve">Q42</t>
  </si>
  <si>
    <t xml:space="preserve">WEEKS</t>
  </si>
  <si>
    <t xml:space="preserve">Weeks of commuting per year</t>
  </si>
  <si>
    <t xml:space="preserve">weeks</t>
  </si>
  <si>
    <t xml:space="preserve">52 less ~1 month break (Q15)</t>
  </si>
  <si>
    <t xml:space="preserve">HOME_KM_MONTH</t>
  </si>
  <si>
    <t xml:space="preserve">Other MTR trips (22 km x 2 x 3 per month)</t>
  </si>
  <si>
    <t xml:space="preserve">km/month</t>
  </si>
  <si>
    <t xml:space="preserve">Q43</t>
  </si>
  <si>
    <t xml:space="preserve">MONTHS_IN_HK</t>
  </si>
  <si>
    <t xml:space="preserve">Months per year in Hong Kong</t>
  </si>
  <si>
    <t xml:space="preserve">months</t>
  </si>
  <si>
    <t xml:space="preserve">Q15 - 1-month break</t>
  </si>
  <si>
    <t xml:space="preserve">MTR_EF</t>
  </si>
  <si>
    <t xml:space="preserve">MTR rail emission intensity</t>
  </si>
  <si>
    <t xml:space="preserve">kg CO2e/p-km</t>
  </si>
  <si>
    <t xml:space="preserve">S17</t>
  </si>
  <si>
    <t xml:space="preserve">MTR CDP 2022</t>
  </si>
  <si>
    <t xml:space="preserve">FL_UPLIFT</t>
  </si>
  <si>
    <t xml:space="preserve">Great-circle distance uplift</t>
  </si>
  <si>
    <t xml:space="preserve">S18</t>
  </si>
  <si>
    <t xml:space="preserve">DESNZ methodology (+8%)</t>
  </si>
  <si>
    <t xml:space="preserve">EF_LONG</t>
  </si>
  <si>
    <t xml:space="preserve">Long-haul economy, with RF</t>
  </si>
  <si>
    <t xml:space="preserve">DESNZ 2025</t>
  </si>
  <si>
    <t xml:space="preserve">EF_SHORT</t>
  </si>
  <si>
    <t xml:space="preserve">Short-haul economy, with RF</t>
  </si>
  <si>
    <t xml:space="preserve">DESNZ 2025 (derived: total incl. WTT 0.14825 less WTT 0.02249)</t>
  </si>
  <si>
    <t xml:space="preserve">DIET_EF</t>
  </si>
  <si>
    <t xml:space="preserve">Mixed (medium meat-eater) diet</t>
  </si>
  <si>
    <t xml:space="preserve">kg CO2e/day</t>
  </si>
  <si>
    <t xml:space="preserve">S19</t>
  </si>
  <si>
    <t xml:space="preserve">Production emissions only</t>
  </si>
  <si>
    <t xml:space="preserve">Benchmarks</t>
  </si>
  <si>
    <t xml:space="preserve">BM_HH_KWH</t>
  </si>
  <si>
    <t xml:space="preserve">Typical HK household electricity</t>
  </si>
  <si>
    <t xml:space="preserve">kWh/month</t>
  </si>
  <si>
    <t xml:space="preserve">S7</t>
  </si>
  <si>
    <t xml:space="preserve">3-person household</t>
  </si>
  <si>
    <t xml:space="preserve">BM_HH_PERS</t>
  </si>
  <si>
    <t xml:space="preserve">Persons in typical household</t>
  </si>
  <si>
    <t xml:space="preserve">BM_FLOOR_PP</t>
  </si>
  <si>
    <t xml:space="preserve">Median per-capita floor area (2021 Census)</t>
  </si>
  <si>
    <t xml:space="preserve">m2/person</t>
  </si>
  <si>
    <t xml:space="preserve">S23</t>
  </si>
  <si>
    <t xml:space="preserve">172 sq ft</t>
  </si>
  <si>
    <t xml:space="preserve">BM_WATER</t>
  </si>
  <si>
    <t xml:space="preserve">HK domestic fresh water use</t>
  </si>
  <si>
    <t xml:space="preserve">2023/24</t>
  </si>
  <si>
    <t xml:space="preserve">BM_HK_T</t>
  </si>
  <si>
    <t xml:space="preserve">HK per-capita GHG emissions (2023)</t>
  </si>
  <si>
    <t xml:space="preserve">t CO2e/person</t>
  </si>
  <si>
    <t xml:space="preserve">S10</t>
  </si>
  <si>
    <t xml:space="preserve">Territorial inventory, AR5</t>
  </si>
  <si>
    <t xml:space="preserve">BEC_LPD</t>
  </si>
  <si>
    <t xml:space="preserve">BEC 2021 max lighting power density - dormitory</t>
  </si>
  <si>
    <t xml:space="preserve">W/m2</t>
  </si>
  <si>
    <t xml:space="preserve">S24</t>
  </si>
  <si>
    <t xml:space="preserve">Room air-conditioner baseline (Midea MW-12CRF8E, Octopus pre-paid)</t>
  </si>
  <si>
    <t xml:space="preserve">Top-down = reported Octopus spend ÷ electricity price.  Bottom-up = HK Energy Label average input power (362 kWh per 1,200 h) × reported operating hours.</t>
  </si>
  <si>
    <t xml:space="preserve">Season</t>
  </si>
  <si>
    <t xml:space="preserve">Octopus AC spend (HK$)</t>
  </si>
  <si>
    <t xml:space="preserve">Top-down kWh (spend ÷ tariff)</t>
  </si>
  <si>
    <t xml:space="preserve">AC operating hours (reported)</t>
  </si>
  <si>
    <t xml:space="preserve">Bottom-up kWh (label kW × hours)</t>
  </si>
  <si>
    <t xml:space="preserve">Scenario: stated HK$120/month (kWh)</t>
  </si>
  <si>
    <t xml:space="preserve">Reconciliation &amp; diagnostics</t>
  </si>
  <si>
    <t xml:space="preserve">Comment</t>
  </si>
  <si>
    <t xml:space="preserve">Label average input power (HK label basis)</t>
  </si>
  <si>
    <t xml:space="preserve">362 kWh / 1,200 h</t>
  </si>
  <si>
    <t xml:space="preserve">Rated input power (nameplate)</t>
  </si>
  <si>
    <t xml:space="preserve">Full-load inverter input</t>
  </si>
  <si>
    <t xml:space="preserve">Annual operating hours (reported pattern)</t>
  </si>
  <si>
    <t xml:space="preserve">12 h/day hot, 4 h/day cool</t>
  </si>
  <si>
    <t xml:space="preserve">BASELINE: top-down annual AC energy</t>
  </si>
  <si>
    <t xml:space="preserve">Used in the inventory</t>
  </si>
  <si>
    <t xml:space="preserve">Bottom-up annual AC energy (label method)</t>
  </si>
  <si>
    <t xml:space="preserve">Independent physical check</t>
  </si>
  <si>
    <t xml:space="preserve">Difference, bottom-up vs top-down</t>
  </si>
  <si>
    <t xml:space="preserve">Within ±10% = good agreement</t>
  </si>
  <si>
    <t xml:space="preserve">Upper-bound scenario (stated HK$120 × 12)</t>
  </si>
  <si>
    <t xml:space="preserve">Not reconciled with seasonal answers</t>
  </si>
  <si>
    <t xml:space="preserve">Implied Octopus rate if bottom-up is right</t>
  </si>
  <si>
    <t xml:space="preserve">Cf. CUHK 1.20 - HKU 2.31 (S25)</t>
  </si>
  <si>
    <t xml:space="preserve">Average input power while running (top-down)</t>
  </si>
  <si>
    <t xml:space="preserve">Inverter part-load operation</t>
  </si>
  <si>
    <t xml:space="preserve">Equivalent full-load hours at rated input</t>
  </si>
  <si>
    <t xml:space="preserve">Hot-season (May-Oct) AC energy</t>
  </si>
  <si>
    <t xml:space="preserve">Hot-season share of AC energy</t>
  </si>
  <si>
    <t xml:space="preserve">Cool-season (Nov-Apr) AC energy</t>
  </si>
  <si>
    <t xml:space="preserve">Annual AC spend (both occupants)</t>
  </si>
  <si>
    <t xml:space="preserve">HK$/yr</t>
  </si>
  <si>
    <t xml:space="preserve">HK$570 per person</t>
  </si>
  <si>
    <t xml:space="preserve">Approx. cooling delivered (top-down × label CSPF)</t>
  </si>
  <si>
    <t xml:space="preserve">kWh(th)/yr</t>
  </si>
  <si>
    <t xml:space="preserve">Seasonal efficiency basis</t>
  </si>
  <si>
    <t xml:space="preserve">Shower hot water - Stiebel Eltron DHB-E 27 instantaneous heater (shared washroom)</t>
  </si>
  <si>
    <t xml:space="preserve">Energy = litres × 4.186 kJ/kg.K × (40 °C - cold-water inlet) ÷ 3,600 ÷ efficiency.  Inlet temperature taken as the HKO monthly mean air temperature (assumption).</t>
  </si>
  <si>
    <t xml:space="preserve">Cold-water inlet ≈ HKO mean (°C)</t>
  </si>
  <si>
    <t xml:space="preserve">Temperature rise to 40 °C (K)</t>
  </si>
  <si>
    <t xml:space="preserve">Shower water per person (L/day)</t>
  </si>
  <si>
    <t xml:space="preserve">Heater energy per person (kWh/day)</t>
  </si>
  <si>
    <t xml:space="preserve">Household heater energy (kWh/month)</t>
  </si>
  <si>
    <t xml:space="preserve">Heater power needed at full flow (kW)</t>
  </si>
  <si>
    <t xml:space="preserve">Diagnostics</t>
  </si>
  <si>
    <t xml:space="preserve">Heater rating at 380 V (DHB-E 27)</t>
  </si>
  <si>
    <t xml:space="preserve">Peak power needed for one shower (January)</t>
  </si>
  <si>
    <t xml:space="preserve">Capacity headroom (rating ÷ need)</t>
  </si>
  <si>
    <t xml:space="preserve">×</t>
  </si>
  <si>
    <t xml:space="preserve">Household shower energy</t>
  </si>
  <si>
    <t xml:space="preserve">Per person</t>
  </si>
  <si>
    <t xml:space="preserve">Shower water per person</t>
  </si>
  <si>
    <t xml:space="preserve">m3/yr</t>
  </si>
  <si>
    <t xml:space="preserve">January vs July daily energy</t>
  </si>
  <si>
    <t xml:space="preserve">Equipment inventory and annual energy (EAC 2018 Step 1-2)</t>
  </si>
  <si>
    <t xml:space="preserve">Household = Room 1003B (2 occupants). Room loads count in full; shared washroom fixed loads at 2/4; shared kitchen fixed loads at 2/32; usage-based items (showers, cooking, laundry) at the household's own use.</t>
  </si>
  <si>
    <t xml:space="preserve">ID</t>
  </si>
  <si>
    <t xml:space="preserve">Space</t>
  </si>
  <si>
    <t xml:space="preserve">Item</t>
  </si>
  <si>
    <t xml:space="preserve">Make / model / evidence</t>
  </si>
  <si>
    <t xml:space="preserve">Power basis (W)</t>
  </si>
  <si>
    <t xml:space="preserve">Qty</t>
  </si>
  <si>
    <t xml:space="preserve">Use (h/day) or basis</t>
  </si>
  <si>
    <t xml:space="preserve">Item annual kWh</t>
  </si>
  <si>
    <t xml:space="preserve">Household share</t>
  </si>
  <si>
    <t xml:space="preserve">Household kWh/yr</t>
  </si>
  <si>
    <t xml:space="preserve">Per person kWh/yr</t>
  </si>
  <si>
    <t xml:space="preserve">End-use</t>
  </si>
  <si>
    <t xml:space="preserve">EAC 8.1(g)(iv) category</t>
  </si>
  <si>
    <t xml:space="preserve">Photo / note</t>
  </si>
  <si>
    <t xml:space="preserve">R1</t>
  </si>
  <si>
    <t xml:space="preserve">Room</t>
  </si>
  <si>
    <t xml:space="preserve">Window air-conditioner</t>
  </si>
  <si>
    <t xml:space="preserve">Midea MW-12CRF8E, 1.5 HP inverter, R32, Grade 1</t>
  </si>
  <si>
    <t xml:space="preserve">Octopus spend ÷ tariff</t>
  </si>
  <si>
    <t xml:space="preserve">Air-conditioning</t>
  </si>
  <si>
    <t xml:space="preserve">Reported spend + label</t>
  </si>
  <si>
    <t xml:space="preserve">03a, 03b</t>
  </si>
  <si>
    <t xml:space="preserve">R2</t>
  </si>
  <si>
    <t xml:space="preserve">2 surface battens (no label visible)</t>
  </si>
  <si>
    <t xml:space="preserve">Lighting</t>
  </si>
  <si>
    <t xml:space="preserve">Assumed W, reported h</t>
  </si>
  <si>
    <t xml:space="preserve">05a</t>
  </si>
  <si>
    <t xml:space="preserve">R3</t>
  </si>
  <si>
    <t xml:space="preserve">Integrated in furniture</t>
  </si>
  <si>
    <t xml:space="preserve">05b</t>
  </si>
  <si>
    <t xml:space="preserve">R4</t>
  </si>
  <si>
    <t xml:space="preserve">Oscillating desk fan</t>
  </si>
  <si>
    <t xml:space="preserve">ZW02-180, 20 W nameplate</t>
  </si>
  <si>
    <t xml:space="preserve">Air movement (fan)</t>
  </si>
  <si>
    <t xml:space="preserve">Nameplate + reported</t>
  </si>
  <si>
    <t xml:space="preserve">06b</t>
  </si>
  <si>
    <t xml:space="preserve">R5</t>
  </si>
  <si>
    <t xml:space="preserve">Laptops (auditor + roommate)</t>
  </si>
  <si>
    <t xml:space="preserve">HP 65 W adapter TPN-CA17 (avg draw 50%)</t>
  </si>
  <si>
    <t xml:space="preserve">Plug loads</t>
  </si>
  <si>
    <t xml:space="preserve">Others</t>
  </si>
  <si>
    <t xml:space="preserve">Nameplate + assumed LF</t>
  </si>
  <si>
    <t xml:space="preserve">06a</t>
  </si>
  <si>
    <t xml:space="preserve">R6</t>
  </si>
  <si>
    <t xml:space="preserve">Phone chargers</t>
  </si>
  <si>
    <t xml:space="preserve">Typical 20 W fast charger</t>
  </si>
  <si>
    <t xml:space="preserve">W1</t>
  </si>
  <si>
    <t xml:space="preserve">Washroom</t>
  </si>
  <si>
    <t xml:space="preserve">Instantaneous water heater (household showers)</t>
  </si>
  <si>
    <t xml:space="preserve">Stiebel Eltron DHB-E 27, 24.4 kW @380 V</t>
  </si>
  <si>
    <t xml:space="preserve">See HotWater sheet</t>
  </si>
  <si>
    <t xml:space="preserve">Hot water</t>
  </si>
  <si>
    <t xml:space="preserve">Physics model</t>
  </si>
  <si>
    <t xml:space="preserve">08a, 08e</t>
  </si>
  <si>
    <t xml:space="preserve">W2</t>
  </si>
  <si>
    <t xml:space="preserve">Window exhaust fan (runs 24 h)</t>
  </si>
  <si>
    <t xml:space="preserve">J.E.E. window fan (label not visible)</t>
  </si>
  <si>
    <t xml:space="preserve">Ventilation</t>
  </si>
  <si>
    <t xml:space="preserve">08c, 08d</t>
  </si>
  <si>
    <t xml:space="preserve">W3</t>
  </si>
  <si>
    <t xml:space="preserve">LED downlights (occupancy sensor)</t>
  </si>
  <si>
    <t xml:space="preserve">3 surface downlights</t>
  </si>
  <si>
    <t xml:space="preserve">08b</t>
  </si>
  <si>
    <t xml:space="preserve">K1</t>
  </si>
  <si>
    <t xml:space="preserve">Kitchen</t>
  </si>
  <si>
    <t xml:space="preserve">Panasonic NR-BV361B, Grade 1, 263 kWh/yr label</t>
  </si>
  <si>
    <t xml:space="preserve">Energy label</t>
  </si>
  <si>
    <t xml:space="preserve">Refrigeration</t>
  </si>
  <si>
    <t xml:space="preserve">09i</t>
  </si>
  <si>
    <t xml:space="preserve">K2</t>
  </si>
  <si>
    <t xml:space="preserve">3-temperature water dispenser</t>
  </si>
  <si>
    <t xml:space="preserve">Aquatek AQ-1323T, 750 W heater + 160 W compressor</t>
  </si>
  <si>
    <t xml:space="preserve">1.5 kWh/day (assumed)</t>
  </si>
  <si>
    <t xml:space="preserve">09a, 09b</t>
  </si>
  <si>
    <t xml:space="preserve">K3</t>
  </si>
  <si>
    <t xml:space="preserve">Split air-conditioner</t>
  </si>
  <si>
    <t xml:space="preserve">Toshiba RAS-24J2KCV-HK, 7.0 kW, R410A, Grade 1 (688 kWh/1,200 h)</t>
  </si>
  <si>
    <t xml:space="preserve">8 h/day hot, 4 h/day cool</t>
  </si>
  <si>
    <t xml:space="preserve">Label + observed</t>
  </si>
  <si>
    <t xml:space="preserve">09f, 09g</t>
  </si>
  <si>
    <t xml:space="preserve">K4</t>
  </si>
  <si>
    <t xml:space="preserve">Kitchen lighting</t>
  </si>
  <si>
    <t xml:space="preserve">K5</t>
  </si>
  <si>
    <t xml:space="preserve">Induction cooking (household)</t>
  </si>
  <si>
    <t xml:space="preserve">Philips HD4911/80, 2,100 W max, Grade 2 (88.1%)</t>
  </si>
  <si>
    <t xml:space="preserve">Cooking</t>
  </si>
  <si>
    <t xml:space="preserve">Reported use + assumed kW</t>
  </si>
  <si>
    <t xml:space="preserve">09c-09e</t>
  </si>
  <si>
    <t xml:space="preserve">L1</t>
  </si>
  <si>
    <t xml:space="preserve">Laundry</t>
  </si>
  <si>
    <t xml:space="preserve">Washing machine (household)</t>
  </si>
  <si>
    <t xml:space="preserve">Hall machine, cold wash 45 min</t>
  </si>
  <si>
    <t xml:space="preserve">1 load/week each</t>
  </si>
  <si>
    <t xml:space="preserve">Reported use + assumed kWh</t>
  </si>
  <si>
    <t xml:space="preserve">L2</t>
  </si>
  <si>
    <t xml:space="preserve">Tumble dryer (household)</t>
  </si>
  <si>
    <t xml:space="preserve">Hall machine, 12 min per load</t>
  </si>
  <si>
    <t xml:space="preserve">12 min/load</t>
  </si>
  <si>
    <t xml:space="preserve">Total</t>
  </si>
  <si>
    <t xml:space="preserve">% of household</t>
  </si>
  <si>
    <t xml:space="preserve">Room 1003B (15 m²)</t>
  </si>
  <si>
    <t xml:space="preserve">Total household</t>
  </si>
  <si>
    <t xml:space="preserve">Outside the room (shared / usage-based)</t>
  </si>
  <si>
    <t xml:space="preserve">Check: space total - inventory total (must be 0)</t>
  </si>
  <si>
    <t xml:space="preserve">Monthly energy, EUI and emissions profile (typical baseline year)</t>
  </si>
  <si>
    <t xml:space="preserve">Feeds EAC 2018 §8.1(g)(iii) monthly EUI and EE-EAes Part 2 item 5.  Room-only = loads inside the 15 m² room.</t>
  </si>
  <si>
    <t xml:space="preserve">Room AC</t>
  </si>
  <si>
    <t xml:space="preserve">Desk fan</t>
  </si>
  <si>
    <t xml:space="preserve">Room lighting</t>
  </si>
  <si>
    <t xml:space="preserve">Room plug loads</t>
  </si>
  <si>
    <t xml:space="preserve">Washroom fan + lights (share)</t>
  </si>
  <si>
    <t xml:space="preserve">Kitchen AC (share)</t>
  </si>
  <si>
    <t xml:space="preserve">Kitchen fridges, dispenser, lights (share)</t>
  </si>
  <si>
    <t xml:space="preserve">Household total kWh</t>
  </si>
  <si>
    <t xml:space="preserve">Household total MJ</t>
  </si>
  <si>
    <t xml:space="preserve">Room-only kWh</t>
  </si>
  <si>
    <t xml:space="preserve">Room EUI (MJ/m²)</t>
  </si>
  <si>
    <t xml:space="preserve">Per person kWh</t>
  </si>
  <si>
    <t xml:space="preserve">kg CO2e (CLP 0.34)</t>
  </si>
  <si>
    <t xml:space="preserve">kg CO2e (default 0.7)</t>
  </si>
  <si>
    <t xml:space="preserve">Check: monthly total - inventory total (must be 0)</t>
  </si>
  <si>
    <t xml:space="preserve">Check: room-only total - room inventory (must be 0)</t>
  </si>
  <si>
    <t xml:space="preserve">Energy breakdown, EUI and benchmarks</t>
  </si>
  <si>
    <t xml:space="preserve">EAC 2018 §8.1(g)(ii)-(iv): EUI, monthly EUI and percentage breakdown by installation.</t>
  </si>
  <si>
    <t xml:space="preserve">A. End-use breakdown - household (Room 1003B + allocated shared services)</t>
  </si>
  <si>
    <t xml:space="preserve">% of total</t>
  </si>
  <si>
    <t xml:space="preserve">kg CO2e/yr (CLP)</t>
  </si>
  <si>
    <t xml:space="preserve">kg CO2e/yr (default 0.7)</t>
  </si>
  <si>
    <t xml:space="preserve">B. EAC 2018 §8.1(g)(iv) categories</t>
  </si>
  <si>
    <t xml:space="preserve">Category</t>
  </si>
  <si>
    <t xml:space="preserve">Room 1003B kWh/yr</t>
  </si>
  <si>
    <t xml:space="preserve">% (room)</t>
  </si>
  <si>
    <t xml:space="preserve">% (household)</t>
  </si>
  <si>
    <t xml:space="preserve">Room MJ/yr</t>
  </si>
  <si>
    <t xml:space="preserve">Lift &amp; escalator</t>
  </si>
  <si>
    <t xml:space="preserve">Lift &amp; escalator: not applicable to the audited unit (hall lifts are outside the household boundary).</t>
  </si>
  <si>
    <t xml:space="preserve">C. Key performance indicators and Hong Kong benchmarks</t>
  </si>
  <si>
    <t xml:space="preserve">Benchmark</t>
  </si>
  <si>
    <t xml:space="preserve">Benchmark basis</t>
  </si>
  <si>
    <t xml:space="preserve">Ratio to benchmark</t>
  </si>
  <si>
    <t xml:space="preserve">Room EUI (energy inside the 15 m² room)</t>
  </si>
  <si>
    <t xml:space="preserve">kWh/m²/yr</t>
  </si>
  <si>
    <t xml:space="preserve">Typical HK home: 275 kWh/month ÷ 3 persons ÷ 16 m²/person (S7, S23)</t>
  </si>
  <si>
    <t xml:space="preserve">As above, in MJ</t>
  </si>
  <si>
    <t xml:space="preserve">Household electricity per person</t>
  </si>
  <si>
    <t xml:space="preserve">Typical HK household (S7)</t>
  </si>
  <si>
    <t xml:space="preserve">Share of household energy used outside the room</t>
  </si>
  <si>
    <t xml:space="preserve">Shared washroom, kitchen, laundry</t>
  </si>
  <si>
    <t xml:space="preserve">Room lighting power density</t>
  </si>
  <si>
    <t xml:space="preserve">W/m²</t>
  </si>
  <si>
    <t xml:space="preserve">BEC 2021 max LPD, dormitory (S24)</t>
  </si>
  <si>
    <t xml:space="preserve">Floor area per occupant</t>
  </si>
  <si>
    <t xml:space="preserve">m²/person</t>
  </si>
  <si>
    <t xml:space="preserve">Median HK per-capita floor area (S23)</t>
  </si>
  <si>
    <t xml:space="preserve">Fresh water use per person</t>
  </si>
  <si>
    <t xml:space="preserve">HK domestic fresh water 2023/24 (S13)</t>
  </si>
  <si>
    <t xml:space="preserve">AC share of room energy</t>
  </si>
  <si>
    <t xml:space="preserve">Incl. desk fan</t>
  </si>
  <si>
    <t xml:space="preserve">Hot water share of household energy</t>
  </si>
  <si>
    <t xml:space="preserve">Greenhouse gas inventory - HK GHG Guidelines for Buildings (EPD/EMSD 2010) format</t>
  </si>
  <si>
    <t xml:space="preserve">Reporting entity: household of Room 1003B (2 occupants). Physical boundary: the room plus allocated shares of the shared washroom and kitchen, and the household's hall-laundry use. Baseline year: typical 12 months (data Jan-Oct 2026).</t>
  </si>
  <si>
    <t xml:space="preserve">SCOPE 1 - Direct emissions</t>
  </si>
  <si>
    <t xml:space="preserve">Table 1 - Stationary combustion</t>
  </si>
  <si>
    <t xml:space="preserve">Fuel</t>
  </si>
  <si>
    <t xml:space="preserve">Amount</t>
  </si>
  <si>
    <t xml:space="preserve">CO2e factor</t>
  </si>
  <si>
    <t xml:space="preserve">Cooking and water heating</t>
  </si>
  <si>
    <t xml:space="preserve">None - all-electric (induction hob, electric heater)</t>
  </si>
  <si>
    <t xml:space="preserve">Table 3 - HFC refrigerant (mass-balance method: inventory change)</t>
  </si>
  <si>
    <t xml:space="preserve">Equipment</t>
  </si>
  <si>
    <t xml:space="preserve">Refrigerant</t>
  </si>
  <si>
    <t xml:space="preserve">Cs (kg)</t>
  </si>
  <si>
    <t xml:space="preserve">Ci (kg)</t>
  </si>
  <si>
    <t xml:space="preserve">Cd (kg)</t>
  </si>
  <si>
    <t xml:space="preserve">Ce (kg)</t>
  </si>
  <si>
    <t xml:space="preserve">GWP</t>
  </si>
  <si>
    <t xml:space="preserve">Room window AC</t>
  </si>
  <si>
    <t xml:space="preserve">R32 (HFC-32)</t>
  </si>
  <si>
    <t xml:space="preserve">Kitchen split AC</t>
  </si>
  <si>
    <t xml:space="preserve">R-410A</t>
  </si>
  <si>
    <t xml:space="preserve">Occupants hold, buy and dispose of no refrigerant, so the Guideline mass-balance gives zero. A leak-rate screening estimate is added below so fugitive HFCs are not omitted.</t>
  </si>
  <si>
    <t xml:space="preserve">Screening estimate - IPCC 2006 operating leak rate (included in Scope 1)</t>
  </si>
  <si>
    <t xml:space="preserve">Charge (kg)</t>
  </si>
  <si>
    <t xml:space="preserve">Leak rate /yr</t>
  </si>
  <si>
    <t xml:space="preserve">R32</t>
  </si>
  <si>
    <t xml:space="preserve">Scope 1 total</t>
  </si>
  <si>
    <t xml:space="preserve">SCOPE 2 - Energy indirect emissions (Table 5: purchased electricity, CLP Power)</t>
  </si>
  <si>
    <t xml:space="preserve">Facility / source</t>
  </si>
  <si>
    <t xml:space="preserve">Electricity (kWh/yr)</t>
  </si>
  <si>
    <t xml:space="preserve">CLP-specific factor (kg/kWh)</t>
  </si>
  <si>
    <t xml:space="preserve">Territory default (kg/kWh)</t>
  </si>
  <si>
    <t xml:space="preserve">kg CO2e/yr (default)</t>
  </si>
  <si>
    <t xml:space="preserve">Room 1003B (incl. Octopus-metered AC)</t>
  </si>
  <si>
    <t xml:space="preserve">Shared washroom (own showers + 2/4 of fan &amp; lights)</t>
  </si>
  <si>
    <t xml:space="preserve">Shared kitchen (own cooking + 2/32 of fixed loads)</t>
  </si>
  <si>
    <t xml:space="preserve">Hall laundry (own use)</t>
  </si>
  <si>
    <t xml:space="preserve">Scope 2 total</t>
  </si>
  <si>
    <t xml:space="preserve">Table 6 - Towngas: not applicable (no Towngas or LPG used).</t>
  </si>
  <si>
    <t xml:space="preserve">SCOPE 3 - Other indirect emissions (optional under the Guidelines)</t>
  </si>
  <si>
    <t xml:space="preserve">Quantity</t>
  </si>
  <si>
    <t xml:space="preserve">Basis</t>
  </si>
  <si>
    <t xml:space="preserve">Shower water</t>
  </si>
  <si>
    <t xml:space="preserve">HotWater sheet</t>
  </si>
  <si>
    <t xml:space="preserve">Drinking water (dispenser)</t>
  </si>
  <si>
    <t xml:space="preserve">Basin, cooking and dish-washing</t>
  </si>
  <si>
    <t xml:space="preserve">Laundry water</t>
  </si>
  <si>
    <t xml:space="preserve">60 L per weekly load</t>
  </si>
  <si>
    <t xml:space="preserve">Paper purchased (Pi)</t>
  </si>
  <si>
    <t xml:space="preserve">kg/yr (household)</t>
  </si>
  <si>
    <t xml:space="preserve">100 sheets/semester each</t>
  </si>
  <si>
    <t xml:space="preserve">Paper recycled (Pr)</t>
  </si>
  <si>
    <t xml:space="preserve">kg/yr</t>
  </si>
  <si>
    <t xml:space="preserve">Half recycled (assumed)</t>
  </si>
  <si>
    <t xml:space="preserve">Paper in storage at start / end (Ps, Pe)</t>
  </si>
  <si>
    <t xml:space="preserve">Negligible</t>
  </si>
  <si>
    <t xml:space="preserve">Fresh water per person</t>
  </si>
  <si>
    <t xml:space="preserve">Household fresh water</t>
  </si>
  <si>
    <t xml:space="preserve">Household seawater (toilet flushing)</t>
  </si>
  <si>
    <t xml:space="preserve">5 flushes x 6 L/person/day</t>
  </si>
  <si>
    <t xml:space="preserve">Guideline item</t>
  </si>
  <si>
    <t xml:space="preserve">Emission factor</t>
  </si>
  <si>
    <t xml:space="preserve">Factor unit</t>
  </si>
  <si>
    <t xml:space="preserve">Factor basis</t>
  </si>
  <si>
    <t xml:space="preserve">Table 7 - Paper waste to landfill</t>
  </si>
  <si>
    <t xml:space="preserve">Guideline default 4.8</t>
  </si>
  <si>
    <t xml:space="preserve">Table 8 - Fresh water (WSD)</t>
  </si>
  <si>
    <t xml:space="preserve">m3</t>
  </si>
  <si>
    <t xml:space="preserve">kg CO2e/m3</t>
  </si>
  <si>
    <t xml:space="preserve">0.624 kWh/m3 × 0.7</t>
  </si>
  <si>
    <t xml:space="preserve">Table 9 - Sewage (DSD)</t>
  </si>
  <si>
    <t xml:space="preserve">0.29 kWh/m3 × 0.7</t>
  </si>
  <si>
    <t xml:space="preserve">Seawater for flushing (WSD, optional)</t>
  </si>
  <si>
    <t xml:space="preserve">0.362 kWh/m3 × 0.7</t>
  </si>
  <si>
    <t xml:space="preserve">Scope 3 total</t>
  </si>
  <si>
    <t xml:space="preserve">SUMMARY - household (Room 1003B, 2 occupants)</t>
  </si>
  <si>
    <t xml:space="preserve">Scope</t>
  </si>
  <si>
    <t xml:space="preserve">kg CO2e/yr (CLP-specific)</t>
  </si>
  <si>
    <t xml:space="preserve">kg CO2e/yr (territory default)</t>
  </si>
  <si>
    <t xml:space="preserve">t CO2e/yr (CLP)</t>
  </si>
  <si>
    <t xml:space="preserve">% of total (CLP)</t>
  </si>
  <si>
    <t xml:space="preserve">kg CO2e/person/yr (CLP)</t>
  </si>
  <si>
    <t xml:space="preserve">kg CO2e/person/yr (default)</t>
  </si>
  <si>
    <t xml:space="preserve">Scope 1 - direct (refrigerant screening)</t>
  </si>
  <si>
    <t xml:space="preserve">Scope 2 - purchased electricity</t>
  </si>
  <si>
    <t xml:space="preserve">Scope 3 - water, sewage, paper</t>
  </si>
  <si>
    <t xml:space="preserve">TOTAL</t>
  </si>
  <si>
    <t xml:space="preserve">Emission intensity of the room (Scope 2, CLP basis)</t>
  </si>
  <si>
    <t xml:space="preserve">kg CO2e/m²/yr</t>
  </si>
  <si>
    <t xml:space="preserve">Daily-activity extension - the auditor's personal Scope 3 footprint</t>
  </si>
  <si>
    <t xml:space="preserve">Reported separately from the building inventory (GHG Protocol / ISO 14064-1 Scope 3 categories). Per auditor only, not per household.</t>
  </si>
  <si>
    <t xml:space="preserve">Activity</t>
  </si>
  <si>
    <t xml:space="preserve">MTR commute (18 km x 2 x 6 days/week)</t>
  </si>
  <si>
    <t xml:space="preserve">p-km</t>
  </si>
  <si>
    <t xml:space="preserve">MTR CDP 2022 (S17); 48 weeks</t>
  </si>
  <si>
    <t xml:space="preserve">Other MTR trips (22 km x 2 x 3/month)</t>
  </si>
  <si>
    <t xml:space="preserve">11 months in HK</t>
  </si>
  <si>
    <t xml:space="preserve">Flights (4 legs, table below)</t>
  </si>
  <si>
    <t xml:space="preserve">DESNZ 2025 economy incl. RF (S18)</t>
  </si>
  <si>
    <t xml:space="preserve">Diet - mixed (medium meat-eater)</t>
  </si>
  <si>
    <t xml:space="preserve">Scarborough et al. 2014 (S19)</t>
  </si>
  <si>
    <t xml:space="preserve">Lifestyle total</t>
  </si>
  <si>
    <t xml:space="preserve">Flight leg</t>
  </si>
  <si>
    <t xml:space="preserve">Great-circle km</t>
  </si>
  <si>
    <t xml:space="preserve">Haul</t>
  </si>
  <si>
    <t xml:space="preserve">Distance incl. 8% uplift (km)</t>
  </si>
  <si>
    <t xml:space="preserve">Factor (kg CO2e/p-km)</t>
  </si>
  <si>
    <t xml:space="preserve">kg CO2e</t>
  </si>
  <si>
    <t xml:space="preserve">Hong Kong (HKG) - Delhi (DEL)</t>
  </si>
  <si>
    <t xml:space="preserve">Long-haul</t>
  </si>
  <si>
    <t xml:space="preserve">Delhi (DEL) - Hong Kong (HKG)</t>
  </si>
  <si>
    <t xml:space="preserve">Delhi (DEL) - Goa (GOI)</t>
  </si>
  <si>
    <t xml:space="preserve">Short-haul</t>
  </si>
  <si>
    <t xml:space="preserve">Goa (GOI) - Hong Kong (HKG)</t>
  </si>
  <si>
    <t xml:space="preserve">Flights total</t>
  </si>
  <si>
    <t xml:space="preserve">Personal footprint (auditor)</t>
  </si>
  <si>
    <t xml:space="preserve">% of personal total</t>
  </si>
  <si>
    <t xml:space="preserve">Home energy &amp; water (household inventory ÷ 2)</t>
  </si>
  <si>
    <t xml:space="preserve">MTR travel</t>
  </si>
  <si>
    <t xml:space="preserve">Flights</t>
  </si>
  <si>
    <t xml:space="preserve">Diet</t>
  </si>
  <si>
    <t xml:space="preserve">Personal total</t>
  </si>
  <si>
    <t xml:space="preserve">HK per-capita emissions 2023 (territorial, S10)</t>
  </si>
  <si>
    <t xml:space="preserve">Ratio: personal total / HK per-capita (different scope - see report)</t>
  </si>
  <si>
    <t xml:space="preserve">Energy Management Opportunities (EAC 2018 §6.2 categories; EE-EAes Part 3 types)</t>
  </si>
  <si>
    <t xml:space="preserve">Cat I = housekeeping, no cost; Cat II = low-cost operational changes; Cat III = higher capital cost.  Types: LG lighting, AC air-conditioning, EL electrical, LE lift/escalator, Others.  Capital costs are indicative and must be confirmed by quotation.</t>
  </si>
  <si>
    <t xml:space="preserve">Ref</t>
  </si>
  <si>
    <t xml:space="preserve">Cat.</t>
  </si>
  <si>
    <t xml:space="preserve">Type</t>
  </si>
  <si>
    <t xml:space="preserve">Responsible party</t>
  </si>
  <si>
    <t xml:space="preserve">Energy management opportunity</t>
  </si>
  <si>
    <t xml:space="preserve">Basis of saving estimate</t>
  </si>
  <si>
    <t xml:space="preserve">Facility saving (kWh/yr)</t>
  </si>
  <si>
    <t xml:space="preserve">Household share (kWh/yr)</t>
  </si>
  <si>
    <t xml:space="preserve">Household saving (HK$/yr)</t>
  </si>
  <si>
    <t xml:space="preserve">Indicative capital cost (HK$)</t>
  </si>
  <si>
    <t xml:space="preserve">Simple payback (yr)</t>
  </si>
  <si>
    <t xml:space="preserve">Service life (yr)</t>
  </si>
  <si>
    <t xml:space="preserve">Facility saving (kg CO2e/yr)</t>
  </si>
  <si>
    <t xml:space="preserve">Household saving (kg CO2e/yr)</t>
  </si>
  <si>
    <t xml:space="preserve">Recommendation</t>
  </si>
  <si>
    <t xml:space="preserve">EMO-01</t>
  </si>
  <si>
    <t xml:space="preserve">I</t>
  </si>
  <si>
    <t xml:space="preserve">AC</t>
  </si>
  <si>
    <t xml:space="preserve">Occupants</t>
  </si>
  <si>
    <t xml:space="preserve">Raise the AC set-point from 25 °C to 26 °C and keep the 20 W desk fan running for air movement</t>
  </si>
  <si>
    <t xml:space="preserve">3% of AC energy per +1 °C (S14)</t>
  </si>
  <si>
    <t xml:space="preserve">Implement now</t>
  </si>
  <si>
    <t xml:space="preserve">EMO-02</t>
  </si>
  <si>
    <t xml:space="preserve">Use the AC's built-in timer to switch off 2 h before waking in hot months (12 to 10 h/day)</t>
  </si>
  <si>
    <t xml:space="preserve">2/12 of hot-season AC energy</t>
  </si>
  <si>
    <t xml:space="preserve">EMO-03</t>
  </si>
  <si>
    <t xml:space="preserve">Clean the AC filter fortnightly in summer, wipe the soiled louvres, close the curtain against late-afternoon NW sun</t>
  </si>
  <si>
    <t xml:space="preserve">5% of AC energy (S26, S32)</t>
  </si>
  <si>
    <t xml:space="preserve">EMO-04</t>
  </si>
  <si>
    <t xml:space="preserve">LG</t>
  </si>
  <si>
    <t xml:space="preserve">Use the desk task lights instead of both ceiling battens for 3 of the 6 lit hours</t>
  </si>
  <si>
    <t xml:space="preserve">2 x 20 W x 3 h/day avoided</t>
  </si>
  <si>
    <t xml:space="preserve">EMO-05</t>
  </si>
  <si>
    <t xml:space="preserve">Shorten showers from 5 to 4 minutes</t>
  </si>
  <si>
    <t xml:space="preserve">20% of shower heating energy</t>
  </si>
  <si>
    <t xml:space="preserve">EMO-06</t>
  </si>
  <si>
    <t xml:space="preserve">Lower the delivered shower temperature from 40 °C to 38 °C (turn the heater dial down)</t>
  </si>
  <si>
    <t xml:space="preserve">2 K of the annual-average temperature rise</t>
  </si>
  <si>
    <t xml:space="preserve">EMO-07</t>
  </si>
  <si>
    <t xml:space="preserve">EL</t>
  </si>
  <si>
    <t xml:space="preserve">Laptop power management: lower brightness, sleep after 10 min idle, battery-saver mode</t>
  </si>
  <si>
    <t xml:space="preserve">15% of laptop energy (assumed)</t>
  </si>
  <si>
    <t xml:space="preserve">EMO-08</t>
  </si>
  <si>
    <t xml:space="preserve">Cook with lids, match pan to the induction zone, batch-cook two meals per session</t>
  </si>
  <si>
    <t xml:space="preserve">20% of cooking energy (assumed)</t>
  </si>
  <si>
    <t xml:space="preserve">EMO-09</t>
  </si>
  <si>
    <t xml:space="preserve">II</t>
  </si>
  <si>
    <t xml:space="preserve">Hall (Student Residence Office)</t>
  </si>
  <si>
    <t xml:space="preserve">Washroom exhaust fan: replace 24 h running with an occupancy / humidistat run-on control (~8 h/day)</t>
  </si>
  <si>
    <t xml:space="preserve">16 of 24 fan-hours avoided</t>
  </si>
  <si>
    <t xml:space="preserve">Recommend to hall</t>
  </si>
  <si>
    <t xml:space="preserve">EMO-10</t>
  </si>
  <si>
    <t xml:space="preserve">Kitchen AC: 7-day timer + occupancy interlock, set-point locked at 25.5 °C (8 to 5 h/day hot, 4 to 2 h/day cool)</t>
  </si>
  <si>
    <t xml:space="preserve">Label 0.573 kW x hours avoided</t>
  </si>
  <si>
    <t xml:space="preserve">EMO-11</t>
  </si>
  <si>
    <t xml:space="preserve">Water dispenser: enable night set-back / timer on hot and ice tanks (00:00-06:00)</t>
  </si>
  <si>
    <t xml:space="preserve">25% of dispenser energy (assumed)</t>
  </si>
  <si>
    <t xml:space="preserve">EMO-12</t>
  </si>
  <si>
    <t xml:space="preserve">Fit a WELS Grade-1 low-flow showerhead (9 to 7 L/min) in the shared washroom</t>
  </si>
  <si>
    <t xml:space="preserve">22% of shower energy and water, 4 users</t>
  </si>
  <si>
    <t xml:space="preserve">EMO-13</t>
  </si>
  <si>
    <t xml:space="preserve">Annual professional clean of the window-AC coil and louvres (heavy soiling seen in photo 03b)</t>
  </si>
  <si>
    <t xml:space="preserve">3% of AC energy (S26)</t>
  </si>
  <si>
    <t xml:space="preserve">Recommend on hygiene grounds; bundle with routine maintenance (EAC 7.6.4)</t>
  </si>
  <si>
    <t xml:space="preserve">EMO-14</t>
  </si>
  <si>
    <t xml:space="preserve">Buy a plug-in power meter (about HK$120) to measure the laptop, fan and AC and verify savings (EAC §7.6.3)</t>
  </si>
  <si>
    <t xml:space="preserve">Enabling measure - no saving claimed</t>
  </si>
  <si>
    <t xml:space="preserve">Implement now (within HK$200 budget)</t>
  </si>
  <si>
    <t xml:space="preserve">EMO-15</t>
  </si>
  <si>
    <t xml:space="preserve">III</t>
  </si>
  <si>
    <t xml:space="preserve">Hall (CityU)</t>
  </si>
  <si>
    <t xml:space="preserve">Replace 24.4 kW instantaneous shower heaters with central air-source heat-pump water heating (COP about 3.5) and storage</t>
  </si>
  <si>
    <t xml:space="preserve">Electricity x (1 - 0.99/3.5), 4 users</t>
  </si>
  <si>
    <t xml:space="preserve">Further study (also cuts peak demand)</t>
  </si>
  <si>
    <t xml:space="preserve">EMO-16</t>
  </si>
  <si>
    <t xml:space="preserve">Replace the Grade-1 window AC (CSPF 4.66) with a best-in-class split unit (CSPF about 7.5)</t>
  </si>
  <si>
    <t xml:space="preserve">AC x (1 - 4.66/7.5)</t>
  </si>
  <si>
    <t xml:space="preserve">Not viable - payback exceeds service life</t>
  </si>
  <si>
    <t xml:space="preserve">EMO-17</t>
  </si>
  <si>
    <t xml:space="preserve">Solar-control film on the NW single glazing (1.55 m²)</t>
  </si>
  <si>
    <t xml:space="preserve">2% of AC energy (assumed)</t>
  </si>
  <si>
    <t xml:space="preserve">Not viable at present</t>
  </si>
  <si>
    <t xml:space="preserve">EMO-18</t>
  </si>
  <si>
    <t xml:space="preserve">Expand rooftop solar PV under the CLP Feed-in Tariff (the village already has 110 panels)</t>
  </si>
  <si>
    <t xml:space="preserve">Renewable-energy viability statement (EAC §7.4.4(d))</t>
  </si>
  <si>
    <t xml:space="preserve">Further study by CityU</t>
  </si>
  <si>
    <t xml:space="preserve">No. of EMOs</t>
  </si>
  <si>
    <t xml:space="preserve">Household saving (kWh/yr)</t>
  </si>
  <si>
    <t xml:space="preserve">% of household electricity</t>
  </si>
  <si>
    <t xml:space="preserve">Category I</t>
  </si>
  <si>
    <t xml:space="preserve">Category II</t>
  </si>
  <si>
    <t xml:space="preserve">Category III</t>
  </si>
  <si>
    <t xml:space="preserve">All EMOs (indicative - savings interact, not fully additive)</t>
  </si>
  <si>
    <t xml:space="preserve">EE-EAes type</t>
  </si>
  <si>
    <t xml:space="preserve">Lighting (LG)</t>
  </si>
  <si>
    <t xml:space="preserve">Air-conditioning (AC)</t>
  </si>
  <si>
    <t xml:space="preserve">Electrical (EL)</t>
  </si>
  <si>
    <t xml:space="preserve">Lift/Escalator (LE)</t>
  </si>
  <si>
    <t xml:space="preserve">Sensitivity analysis - which assumptions matter?</t>
  </si>
  <si>
    <t xml:space="preserve">Each scenario changes one input and recomputes the household total; Scope 2 uses the CLP factor unless the scenario changes the factor.</t>
  </si>
  <si>
    <t xml:space="preserve">#</t>
  </si>
  <si>
    <t xml:space="preserve">Scenario</t>
  </si>
  <si>
    <t xml:space="preserve">Value tested</t>
  </si>
  <si>
    <t xml:space="preserve">Room AC (kWh/yr)</t>
  </si>
  <si>
    <t xml:space="preserve">Household electricity (kWh/yr)</t>
  </si>
  <si>
    <t xml:space="preserve">Household Scope 2 (kg CO2e/yr)</t>
  </si>
  <si>
    <t xml:space="preserve">Change vs base</t>
  </si>
  <si>
    <t xml:space="preserve">Base case</t>
  </si>
  <si>
    <t xml:space="preserve">CLP 0.34; HK$1.406/kWh</t>
  </si>
  <si>
    <t xml:space="preserve">CLP 2024 emission factor</t>
  </si>
  <si>
    <t xml:space="preserve">Territory-wide default factor</t>
  </si>
  <si>
    <t xml:space="preserve">Octopus AC rate HK$1.20/kWh (CUHK level)</t>
  </si>
  <si>
    <t xml:space="preserve">Octopus AC rate HK$2.31/kWh (HKU level)</t>
  </si>
  <si>
    <t xml:space="preserve">Stated flat average HK$120/month</t>
  </si>
  <si>
    <t xml:space="preserve">Bottom-up AC (label 362 kWh/1,200 h)</t>
  </si>
  <si>
    <t xml:space="preserve">Shower flow 7 L/min (Grade-1 head)</t>
  </si>
  <si>
    <t xml:space="preserve">Shower flow 12 L/min</t>
  </si>
  <si>
    <t xml:space="preserve">Laptop average draw 30% of adapter</t>
  </si>
  <si>
    <t xml:space="preserve">Laptop average draw 80% of adapter</t>
  </si>
  <si>
    <t xml:space="preserve">Roommate uses half the auditor's personal loads</t>
  </si>
  <si>
    <t xml:space="preserve">Kitchen allocated over 20 active users (not 32)</t>
  </si>
  <si>
    <t xml:space="preserve">One month away (11 of 12 months occupied)</t>
  </si>
  <si>
    <t xml:space="preserve">Executive Summary - adapted from EMSD Technical Form EE-EAes (V.2)</t>
  </si>
  <si>
    <t xml:space="preserve">Residential buildings are not prescribed under Cap. 610; the form's structure is applied voluntarily to the audited home. Values link to the calculation sheets.</t>
  </si>
  <si>
    <t xml:space="preserve">Part 1 - (A) Administrative information (EAC Clause 8.1(m))</t>
  </si>
  <si>
    <t xml:space="preserve">Name of building (entity audited)</t>
  </si>
  <si>
    <t xml:space="preserve">Hall 13, CityU Lee Shau Kee Student Residence Village - Room 1003B, 10/F</t>
  </si>
  <si>
    <t xml:space="preserve">Address of building</t>
  </si>
  <si>
    <t xml:space="preserve">Ma On Shan, New Territories, Hong Kong</t>
  </si>
  <si>
    <t xml:space="preserve">1) Date of commencement of energy audit</t>
  </si>
  <si>
    <t xml:space="preserve">01/01/2026</t>
  </si>
  <si>
    <t xml:space="preserve">2) Date of completion of energy audit</t>
  </si>
  <si>
    <t xml:space="preserve">11/10/2026</t>
  </si>
  <si>
    <t xml:space="preserve">3) Energy Audit Form validity</t>
  </si>
  <si>
    <t xml:space="preserve">N/A - voluntary home audit (not issued under Cap. 610)</t>
  </si>
  <si>
    <t xml:space="preserve">4) Energy Audit Report reference no.</t>
  </si>
  <si>
    <t xml:space="preserve">SEE8115-HEA-2026-01</t>
  </si>
  <si>
    <t xml:space="preserve">5) Energy imported from / exported to other buildings?</t>
  </si>
  <si>
    <t xml:space="preserve">No. The room is supplied from the hall's CLP supply; room AC is pre-paid by Octopus card.</t>
  </si>
  <si>
    <t xml:space="preserve">Part 1 - (B)(I) Building type, usage and operation</t>
  </si>
  <si>
    <t xml:space="preserve">1)(a) Type of building</t>
  </si>
  <si>
    <t xml:space="preserve">Others - residential student hostel (MiC, 2024)</t>
  </si>
  <si>
    <t xml:space="preserve">1)(b) Portion of common area</t>
  </si>
  <si>
    <t xml:space="preserve">N/A - audited unit is a single room; shared washroom and kitchen allocated by users</t>
  </si>
  <si>
    <t xml:space="preserve">1)(c) No. of blocks</t>
  </si>
  <si>
    <t xml:space="preserve">Village of 3 towers / 6 halls (S15); audited unit in Hall 13</t>
  </si>
  <si>
    <t xml:space="preserve">2) Internal floor area of audited unit (m²)</t>
  </si>
  <si>
    <t xml:space="preserve">3) Floor of audited unit</t>
  </si>
  <si>
    <t xml:space="preserve">10/F</t>
  </si>
  <si>
    <t xml:space="preserve">4) Major type of facade</t>
  </si>
  <si>
    <t xml:space="preserve">MiC concrete modules; dark aluminium-framed single-glazed casement window facing NW (328°)</t>
  </si>
  <si>
    <t xml:space="preserve">5) Occupation</t>
  </si>
  <si>
    <t xml:space="preserve">Opened Q3 2024; naming ceremony 6 Dec 2024 (S15)</t>
  </si>
  <si>
    <t xml:space="preserve">6) Type of central air-conditioning</t>
  </si>
  <si>
    <t xml:space="preserve">Not applicable - unitary window AC (room) and split AC (kitchen)</t>
  </si>
  <si>
    <t xml:space="preserve">7) Weekly occupied hours of the room</t>
  </si>
  <si>
    <t xml:space="preserve">   Daily average no. of occupants</t>
  </si>
  <si>
    <t xml:space="preserve">   Occupant density (m² per person)</t>
  </si>
  <si>
    <t xml:space="preserve">Part 1 - (B)(II) Building services installation of the audited unit</t>
  </si>
  <si>
    <t xml:space="preserve">Equipment (type code)</t>
  </si>
  <si>
    <t xml:space="preserve">Cooling</t>
  </si>
  <si>
    <t xml:space="preserve">Compressor</t>
  </si>
  <si>
    <t xml:space="preserve">Rated capacity (kW)</t>
  </si>
  <si>
    <t xml:space="preserve">Input power (kW)</t>
  </si>
  <si>
    <t xml:space="preserve">COP (kW/kW)</t>
  </si>
  <si>
    <t xml:space="preserve">Window AC (R - room type)</t>
  </si>
  <si>
    <t xml:space="preserve">A (air-cooled)</t>
  </si>
  <si>
    <t xml:space="preserve">UA (inverter rotary)</t>
  </si>
  <si>
    <t xml:space="preserve">Total lighting power of room (kW) (EAC Clause 8.1(f))</t>
  </si>
  <si>
    <t xml:space="preserve">Part 2 - Historical energy consumption analysis (EAC Clause 8.1(g))</t>
  </si>
  <si>
    <t xml:space="preserve">1) Annual electricity, past 1st 12-month (kWh/annum)</t>
  </si>
  <si>
    <t xml:space="preserve">Past 2nd and 3rd 12-month periods: N/A (room occupied from Jan 2026; EAC 8.1(g)(i))</t>
  </si>
  <si>
    <t xml:space="preserve">2) Annual energy other than electricity (MJ/annum)</t>
  </si>
  <si>
    <t xml:space="preserve">No Towngas or LPG</t>
  </si>
  <si>
    <t xml:space="preserve">3) Annual total energy (MJ/annum)</t>
  </si>
  <si>
    <t xml:space="preserve">4) Annual EUI (MJ/m²/annum)</t>
  </si>
  <si>
    <t xml:space="preserve">Equals kWh/m²/annum x 3.6</t>
  </si>
  <si>
    <t xml:space="preserve">5) Monthly EUI (MJ/m²/month), typical year</t>
  </si>
  <si>
    <t xml:space="preserve">6) Annual breakdown (MJ/annum)</t>
  </si>
  <si>
    <t xml:space="preserve">7) Energy supplied by shared building services (washroom, kitchen, laundry) as % of household total</t>
  </si>
  <si>
    <t xml:space="preserve">8) Energy bill reference month</t>
  </si>
  <si>
    <t xml:space="preserve">September 2026 (Octopus pre-paid AC; no utility bill)</t>
  </si>
  <si>
    <t xml:space="preserve">Part 3 - Energy Management Opportunities (EMO)</t>
  </si>
  <si>
    <t xml:space="preserve">Summary</t>
  </si>
  <si>
    <t xml:space="preserve">Electrical</t>
  </si>
  <si>
    <t xml:space="preserve">Lift/Escalator</t>
  </si>
  <si>
    <t xml:space="preserve">Ref.</t>
  </si>
  <si>
    <t xml:space="preserve">Description of EMO (EAC Clause 8.1(l)(i))</t>
  </si>
  <si>
    <t xml:space="preserve">Entry guide - copy these values into the official EMSD form EE-EAes (V.2)</t>
  </si>
  <si>
    <t xml:space="preserve">Open 2_EE-EAes2018 (V.0)_SEE6115-8115.xls in Excel with macros ENABLED (the form hides its sheets otherwise). Type each value into the cell shown; tick-boxes are listed as 'Tick'. Values link to this workbook.</t>
  </si>
  <si>
    <t xml:space="preserve">Form sheet</t>
  </si>
  <si>
    <t xml:space="preserve">Cell</t>
  </si>
  <si>
    <t xml:space="preserve">Field on the form</t>
  </si>
  <si>
    <t xml:space="preserve">Value to enter</t>
  </si>
  <si>
    <t xml:space="preserve">Note</t>
  </si>
  <si>
    <t xml:space="preserve">Part 1(A)</t>
  </si>
  <si>
    <t xml:space="preserve">C15</t>
  </si>
  <si>
    <t xml:space="preserve">Name of building</t>
  </si>
  <si>
    <t xml:space="preserve">Hall 13, CityU Lee Shau Kee Student Residence Village - Room 1003B, 10/F (voluntary home audit)</t>
  </si>
  <si>
    <t xml:space="preserve">C16</t>
  </si>
  <si>
    <t xml:space="preserve">H17</t>
  </si>
  <si>
    <t xml:space="preserve">1) Date of commencement</t>
  </si>
  <si>
    <t xml:space="preserve">dd/mm/yyyy</t>
  </si>
  <si>
    <t xml:space="preserve">H19</t>
  </si>
  <si>
    <t xml:space="preserve">2) Date of completion</t>
  </si>
  <si>
    <t xml:space="preserve">G21 / J21</t>
  </si>
  <si>
    <t xml:space="preserve">3) Form validity (issued / expired)</t>
  </si>
  <si>
    <t xml:space="preserve">N/A</t>
  </si>
  <si>
    <t xml:space="preserve">Not issued under Cap. 610</t>
  </si>
  <si>
    <t xml:space="preserve">H23</t>
  </si>
  <si>
    <t xml:space="preserve">4) Report reference no.</t>
  </si>
  <si>
    <t xml:space="preserve">Tick-box</t>
  </si>
  <si>
    <t xml:space="preserve">5) Import / export energy?</t>
  </si>
  <si>
    <t xml:space="preserve">Tick 'No'</t>
  </si>
  <si>
    <t xml:space="preserve">Part 1(B)(I)</t>
  </si>
  <si>
    <t xml:space="preserve">Tick-boxes</t>
  </si>
  <si>
    <t xml:space="preserve">Leave unticked</t>
  </si>
  <si>
    <t xml:space="preserve">Only commercial types are offered; explain in H6</t>
  </si>
  <si>
    <t xml:space="preserve">H6</t>
  </si>
  <si>
    <t xml:space="preserve">1)(a) free-text cell</t>
  </si>
  <si>
    <t xml:space="preserve">Residential student hostel (not prescribed under Cap. 610)</t>
  </si>
  <si>
    <t xml:space="preserve">H7</t>
  </si>
  <si>
    <t xml:space="preserve">1)(b) Common area %</t>
  </si>
  <si>
    <t xml:space="preserve">H8</t>
  </si>
  <si>
    <t xml:space="preserve">Audited unit only</t>
  </si>
  <si>
    <t xml:space="preserve">H9</t>
  </si>
  <si>
    <t xml:space="preserve">2) Total internal floor area (m2)</t>
  </si>
  <si>
    <t xml:space="preserve">H10</t>
  </si>
  <si>
    <t xml:space="preserve">3) No. of floors</t>
  </si>
  <si>
    <t xml:space="preserve">10/F (audited unit)</t>
  </si>
  <si>
    <t xml:space="preserve">H11</t>
  </si>
  <si>
    <t xml:space="preserve">MiC concrete modules; single-glazed aluminium windows (NW)</t>
  </si>
  <si>
    <t xml:space="preserve">H12</t>
  </si>
  <si>
    <t xml:space="preserve">5) Date of occupation</t>
  </si>
  <si>
    <t xml:space="preserve">Q3 2024 (opened)</t>
  </si>
  <si>
    <t xml:space="preserve">6) Type of central AC</t>
  </si>
  <si>
    <t xml:space="preserve">Tick 'Not applicable'</t>
  </si>
  <si>
    <t xml:space="preserve">Unitary window AC only</t>
  </si>
  <si>
    <t xml:space="preserve">G60</t>
  </si>
  <si>
    <t xml:space="preserve">8)(f) Others - General, AC: % area</t>
  </si>
  <si>
    <t xml:space="preserve">100%</t>
  </si>
  <si>
    <t xml:space="preserve">Whole room is air-conditioned</t>
  </si>
  <si>
    <t xml:space="preserve">H60</t>
  </si>
  <si>
    <t xml:space="preserve">8)(f) weekday hours (hrs/week)</t>
  </si>
  <si>
    <t xml:space="preserve">I60</t>
  </si>
  <si>
    <t xml:space="preserve">8)(f) weekend hours (hrs/week)</t>
  </si>
  <si>
    <t xml:space="preserve">7)(f) Others - average weekly operating hours</t>
  </si>
  <si>
    <t xml:space="preserve">I23</t>
  </si>
  <si>
    <t xml:space="preserve">7)(f) Others - daily average occupants</t>
  </si>
  <si>
    <t xml:space="preserve">Part 2</t>
  </si>
  <si>
    <t xml:space="preserve">E2</t>
  </si>
  <si>
    <t xml:space="preserve">1) Electricity, past 1st 12-month (kWh/annum)</t>
  </si>
  <si>
    <t xml:space="preserve">Room 1003B boundary</t>
  </si>
  <si>
    <t xml:space="preserve">G2 / I2</t>
  </si>
  <si>
    <t xml:space="preserve">1) Past 2nd and 3rd 12-month</t>
  </si>
  <si>
    <t xml:space="preserve">Occupied from Jan 2026 (EAC 8.1(g)(i))</t>
  </si>
  <si>
    <t xml:space="preserve">E5</t>
  </si>
  <si>
    <t xml:space="preserve">2) Other energy, past 1st 12-month (MJ/annum)</t>
  </si>
  <si>
    <t xml:space="preserve">No Towngas / LPG</t>
  </si>
  <si>
    <t xml:space="preserve">G5 / I5</t>
  </si>
  <si>
    <t xml:space="preserve">2) Past 2nd and 3rd 12-month</t>
  </si>
  <si>
    <t xml:space="preserve">C14</t>
  </si>
  <si>
    <t xml:space="preserve">5) Monthly EUI - 1st month (Oct)</t>
  </si>
  <si>
    <t xml:space="preserve">MJ/m2/month; 12th month = reference month (Sep 2026)</t>
  </si>
  <si>
    <t xml:space="preserve">E14</t>
  </si>
  <si>
    <t xml:space="preserve">5) Monthly EUI - 2nd month (Nov)</t>
  </si>
  <si>
    <t xml:space="preserve">G14</t>
  </si>
  <si>
    <t xml:space="preserve">5) Monthly EUI - 3rd month (Dec)</t>
  </si>
  <si>
    <t xml:space="preserve">I14</t>
  </si>
  <si>
    <t xml:space="preserve">5) Monthly EUI - 4th month (Jan)</t>
  </si>
  <si>
    <t xml:space="preserve">5) Monthly EUI - 5th month (Feb)</t>
  </si>
  <si>
    <t xml:space="preserve">E16</t>
  </si>
  <si>
    <t xml:space="preserve">5) Monthly EUI - 6th month (Mar)</t>
  </si>
  <si>
    <t xml:space="preserve">G16</t>
  </si>
  <si>
    <t xml:space="preserve">5) Monthly EUI - 7th month (Apr)</t>
  </si>
  <si>
    <t xml:space="preserve">I16</t>
  </si>
  <si>
    <t xml:space="preserve">5) Monthly EUI - 8th month (May)</t>
  </si>
  <si>
    <t xml:space="preserve">C18</t>
  </si>
  <si>
    <t xml:space="preserve">5) Monthly EUI - 9th month (Jun)</t>
  </si>
  <si>
    <t xml:space="preserve">E18</t>
  </si>
  <si>
    <t xml:space="preserve">5) Monthly EUI - 10th month (Jul)</t>
  </si>
  <si>
    <t xml:space="preserve">G18</t>
  </si>
  <si>
    <t xml:space="preserve">5) Monthly EUI - 11th month (Aug)</t>
  </si>
  <si>
    <t xml:space="preserve">I18</t>
  </si>
  <si>
    <t xml:space="preserve">5) Monthly EUI - 12th month (Sep)</t>
  </si>
  <si>
    <t xml:space="preserve">C20</t>
  </si>
  <si>
    <t xml:space="preserve">6) Air-conditioning (MJ/annum)</t>
  </si>
  <si>
    <t xml:space="preserve">E20</t>
  </si>
  <si>
    <t xml:space="preserve">6) Lighting (MJ/annum)</t>
  </si>
  <si>
    <t xml:space="preserve">G20</t>
  </si>
  <si>
    <t xml:space="preserve">6) Lift &amp; escalator (MJ/annum)</t>
  </si>
  <si>
    <t xml:space="preserve">Not applicable</t>
  </si>
  <si>
    <t xml:space="preserve">I20</t>
  </si>
  <si>
    <t xml:space="preserve">6) Others (MJ/annum)</t>
  </si>
  <si>
    <t xml:space="preserve">Laptops, phones</t>
  </si>
  <si>
    <t xml:space="preserve">I22</t>
  </si>
  <si>
    <t xml:space="preserve">7) Energy supply from CBSI (%)</t>
  </si>
  <si>
    <t xml:space="preserve">Shared-services share is reported in the report instead</t>
  </si>
  <si>
    <t xml:space="preserve">I24</t>
  </si>
  <si>
    <t xml:space="preserve">30/09/2026</t>
  </si>
  <si>
    <t xml:space="preserve">Octopus pre-paid AC; no utility bill</t>
  </si>
  <si>
    <t xml:space="preserve">Part 3</t>
  </si>
  <si>
    <t xml:space="preserve">A9</t>
  </si>
  <si>
    <t xml:space="preserve">EMO slot 1 - reference</t>
  </si>
  <si>
    <t xml:space="preserve">Row 9 tick-boxes</t>
  </si>
  <si>
    <t xml:space="preserve">EMO slot 1 - category / type</t>
  </si>
  <si>
    <t xml:space="preserve">EMO slot 1 - description</t>
  </si>
  <si>
    <t xml:space="preserve">A11</t>
  </si>
  <si>
    <t xml:space="preserve">EMO slot 2 - reference</t>
  </si>
  <si>
    <t xml:space="preserve">Row 11 tick-boxes</t>
  </si>
  <si>
    <t xml:space="preserve">EMO slot 2 - category / type</t>
  </si>
  <si>
    <t xml:space="preserve">EMO slot 2 - description</t>
  </si>
  <si>
    <t xml:space="preserve">A13</t>
  </si>
  <si>
    <t xml:space="preserve">EMO slot 3 - reference</t>
  </si>
  <si>
    <t xml:space="preserve">Row 13 tick-boxes</t>
  </si>
  <si>
    <t xml:space="preserve">EMO slot 3 - category / type</t>
  </si>
  <si>
    <t xml:space="preserve">H13</t>
  </si>
  <si>
    <t xml:space="preserve">EMO slot 3 - description</t>
  </si>
  <si>
    <t xml:space="preserve">A15</t>
  </si>
  <si>
    <t xml:space="preserve">EMO slot 4 - reference</t>
  </si>
  <si>
    <t xml:space="preserve">Row 15 tick-boxes</t>
  </si>
  <si>
    <t xml:space="preserve">EMO slot 4 - category / type</t>
  </si>
  <si>
    <t xml:space="preserve">H15</t>
  </si>
  <si>
    <t xml:space="preserve">EMO slot 4 - description</t>
  </si>
  <si>
    <t xml:space="preserve">A17</t>
  </si>
  <si>
    <t xml:space="preserve">EMO slot 5 - reference</t>
  </si>
  <si>
    <t xml:space="preserve">Row 17 tick-boxes</t>
  </si>
  <si>
    <t xml:space="preserve">EMO slot 5 - category / type</t>
  </si>
  <si>
    <t xml:space="preserve">EMO slot 5 - description</t>
  </si>
  <si>
    <t xml:space="preserve">A19</t>
  </si>
  <si>
    <t xml:space="preserve">EMO slot 6 - reference</t>
  </si>
  <si>
    <t xml:space="preserve">Row 19 tick-boxes</t>
  </si>
  <si>
    <t xml:space="preserve">EMO slot 6 - category / type</t>
  </si>
  <si>
    <t xml:space="preserve">EMO slot 6 - description</t>
  </si>
  <si>
    <t xml:space="preserve">A21</t>
  </si>
  <si>
    <t xml:space="preserve">EMO slot 7 - reference</t>
  </si>
  <si>
    <t xml:space="preserve">Row 21 tick-boxes</t>
  </si>
  <si>
    <t xml:space="preserve">EMO slot 7 - category / type</t>
  </si>
  <si>
    <t xml:space="preserve">H21</t>
  </si>
  <si>
    <t xml:space="preserve">EMO slot 7 - description</t>
  </si>
  <si>
    <t xml:space="preserve">A23</t>
  </si>
  <si>
    <t xml:space="preserve">EMO slot 8 - reference</t>
  </si>
  <si>
    <t xml:space="preserve">Row 23 tick-boxes</t>
  </si>
  <si>
    <t xml:space="preserve">EMO slot 8 - category / type</t>
  </si>
  <si>
    <t xml:space="preserve">EMO slot 8 - description</t>
  </si>
  <si>
    <t xml:space="preserve">A25</t>
  </si>
  <si>
    <t xml:space="preserve">EMO slot 9 - reference</t>
  </si>
  <si>
    <t xml:space="preserve">Row 25 tick-boxes</t>
  </si>
  <si>
    <t xml:space="preserve">EMO slot 9 - category / type</t>
  </si>
  <si>
    <t xml:space="preserve">H25</t>
  </si>
  <si>
    <t xml:space="preserve">EMO slot 9 - description</t>
  </si>
  <si>
    <t xml:space="preserve">A27</t>
  </si>
  <si>
    <t xml:space="preserve">EMO slot 10 - reference</t>
  </si>
  <si>
    <t xml:space="preserve">Row 27 tick-boxes</t>
  </si>
  <si>
    <t xml:space="preserve">EMO slot 10 - category / type</t>
  </si>
  <si>
    <t xml:space="preserve">H27</t>
  </si>
  <si>
    <t xml:space="preserve">EMO slot 10 - description</t>
  </si>
  <si>
    <t xml:space="preserve">A29</t>
  </si>
  <si>
    <t xml:space="preserve">EMO slot 11 - reference</t>
  </si>
  <si>
    <t xml:space="preserve">Row 29 tick-boxes</t>
  </si>
  <si>
    <t xml:space="preserve">EMO slot 11 - category / type</t>
  </si>
  <si>
    <t xml:space="preserve">H29</t>
  </si>
  <si>
    <t xml:space="preserve">EMO slot 11 - description</t>
  </si>
  <si>
    <t xml:space="preserve">A31</t>
  </si>
  <si>
    <t xml:space="preserve">EMO slot 12 - reference</t>
  </si>
  <si>
    <t xml:space="preserve">Row 31 tick-boxes</t>
  </si>
  <si>
    <t xml:space="preserve">EMO slot 12 - category / type</t>
  </si>
  <si>
    <t xml:space="preserve">H31</t>
  </si>
  <si>
    <t xml:space="preserve">EMO slot 12 - description</t>
  </si>
  <si>
    <t xml:space="preserve">H31 (append)</t>
  </si>
  <si>
    <t xml:space="preserve">Additional EMOs</t>
  </si>
  <si>
    <t xml:space="preserve">Add: 'EMO-08, -11, -13, -14, -16 and -17 are listed in the attached EMO register.'</t>
  </si>
  <si>
    <t xml:space="preserve">The form asks for an extra sheet if rows run out</t>
  </si>
  <si>
    <t xml:space="preserve">Photo log - evidence for the inventory (files in photos/)</t>
  </si>
  <si>
    <t xml:space="preserve">File</t>
  </si>
  <si>
    <t xml:space="preserve">What it shows</t>
  </si>
  <si>
    <t xml:space="preserve">Data extracted</t>
  </si>
  <si>
    <t xml:space="preserve">01</t>
  </si>
  <si>
    <t xml:space="preserve">01_room_overview.jpg</t>
  </si>
  <si>
    <t xml:space="preserve">Room 1003B: twin beds, desks, ceiling LED battens, window AC above NW window</t>
  </si>
  <si>
    <t xml:space="preserve">Room layout; equipment present</t>
  </si>
  <si>
    <t xml:space="preserve">02a</t>
  </si>
  <si>
    <t xml:space="preserve">02a_window_view.jpg</t>
  </si>
  <si>
    <t xml:space="preserve">Window and outlook over Tolo Harbour / Ma On Shan</t>
  </si>
  <si>
    <t xml:space="preserve">Single glazing, dark aluminium frame, fly screen</t>
  </si>
  <si>
    <t xml:space="preserve">02b</t>
  </si>
  <si>
    <t xml:space="preserve">02b_window_fixed_pane_measured.jpg</t>
  </si>
  <si>
    <t xml:space="preserve">Bottom fixed pane measured 1.10 m x 0.17-0.19 m</t>
  </si>
  <si>
    <t xml:space="preserve">Glazing area 0.209 m²</t>
  </si>
  <si>
    <t xml:space="preserve">02c</t>
  </si>
  <si>
    <t xml:space="preserve">02c_window_casement_measured.jpg</t>
  </si>
  <si>
    <t xml:space="preserve">Casement measured 0.53 m x 1.26 m = 0.67 m²</t>
  </si>
  <si>
    <t xml:space="preserve">Two casements 1.34 m²</t>
  </si>
  <si>
    <t xml:space="preserve">02d</t>
  </si>
  <si>
    <t xml:space="preserve">02d_compass_328NW.jpg</t>
  </si>
  <si>
    <t xml:space="preserve">Compass 328° NW, 22°26'0"N 114°14'32"E, Ma On Shan, 44 m</t>
  </si>
  <si>
    <t xml:space="preserve">Orientation and location</t>
  </si>
  <si>
    <t xml:space="preserve">02e</t>
  </si>
  <si>
    <t xml:space="preserve">02e_curtain_closed.jpg</t>
  </si>
  <si>
    <t xml:space="preserve">Full-height grey curtain closed; AC at upper left</t>
  </si>
  <si>
    <t xml:space="preserve">Internal shading</t>
  </si>
  <si>
    <t xml:space="preserve">03a</t>
  </si>
  <si>
    <t xml:space="preserve">03a_ac_specification.jpg</t>
  </si>
  <si>
    <t xml:space="preserve">Midea MW-12CRF8E specification / energy label data</t>
  </si>
  <si>
    <t xml:space="preserve">3.34 kW, 1,192 W, R32, Grade 1, 362 kWh, CSPF 4.66</t>
  </si>
  <si>
    <t xml:space="preserve">03b</t>
  </si>
  <si>
    <t xml:space="preserve">03b_ac_front_louvres.jpg</t>
  </si>
  <si>
    <t xml:space="preserve">AC front: dark deposits on discharge louvres; Eco, Timer, Dry modes</t>
  </si>
  <si>
    <t xml:space="preserve">Maintenance finding; controls available</t>
  </si>
  <si>
    <t xml:space="preserve">05a_ceiling_led_battens.jpg</t>
  </si>
  <si>
    <t xml:space="preserve">Two linear LED ceiling battens</t>
  </si>
  <si>
    <t xml:space="preserve">Lighting inventory</t>
  </si>
  <si>
    <t xml:space="preserve">05b_desk_led_and_fan.jpg</t>
  </si>
  <si>
    <t xml:space="preserve">Under-shelf LED desk light and desk fan</t>
  </si>
  <si>
    <t xml:space="preserve">Task lighting</t>
  </si>
  <si>
    <t xml:space="preserve">06a_laptop_adapter_65W.jpg</t>
  </si>
  <si>
    <t xml:space="preserve">HP 65 W adapter TPN-CA17, Efficiency Level VI</t>
  </si>
  <si>
    <t xml:space="preserve">Laptop power</t>
  </si>
  <si>
    <t xml:space="preserve">06b_desk_fan_label_20W.jpg</t>
  </si>
  <si>
    <t xml:space="preserve">Fan label: ZW02-180, 180 mm, 20 W, 220 V</t>
  </si>
  <si>
    <t xml:space="preserve">Fan power</t>
  </si>
  <si>
    <t xml:space="preserve">08a</t>
  </si>
  <si>
    <t xml:space="preserve">08a_water_heater_DHB-E.jpg</t>
  </si>
  <si>
    <t xml:space="preserve">Stiebel Eltron DHB-E electronic instantaneous heater, 30-60 °C dial</t>
  </si>
  <si>
    <t xml:space="preserve">Hot-water system type</t>
  </si>
  <si>
    <t xml:space="preserve">08b_washroom_downlights.jpg</t>
  </si>
  <si>
    <t xml:space="preserve">Two LED downlights, exposed services, sensor</t>
  </si>
  <si>
    <t xml:space="preserve">Washroom lighting</t>
  </si>
  <si>
    <t xml:space="preserve">08c</t>
  </si>
  <si>
    <t xml:space="preserve">08c_washroom_light_and_fan.jpg</t>
  </si>
  <si>
    <t xml:space="preserve">Downlight and window exhaust fan</t>
  </si>
  <si>
    <t xml:space="preserve">Washroom lighting / ventilation</t>
  </si>
  <si>
    <t xml:space="preserve">08d</t>
  </si>
  <si>
    <t xml:space="preserve">08d_washroom_exhaust_fan.jpg</t>
  </si>
  <si>
    <t xml:space="preserve">J.E.E. window exhaust fan (runs 24 h)</t>
  </si>
  <si>
    <t xml:space="preserve">Ventilation finding</t>
  </si>
  <si>
    <t xml:space="preserve">08e</t>
  </si>
  <si>
    <t xml:space="preserve">08e_water_heater_spec.jpg</t>
  </si>
  <si>
    <t xml:space="preserve">Heater specification: 380 V, max 60 °C</t>
  </si>
  <si>
    <t xml:space="preserve">Electrical supply</t>
  </si>
  <si>
    <t xml:space="preserve">09a</t>
  </si>
  <si>
    <t xml:space="preserve">09a_dispenser_spec.jpg</t>
  </si>
  <si>
    <t xml:space="preserve">Aquatek AQ-1323T: 750 W heater, 160 W compressor, 10 L hot / 7.9 L cold / 3 L ice</t>
  </si>
  <si>
    <t xml:space="preserve">Dispenser ratings</t>
  </si>
  <si>
    <t xml:space="preserve">09b</t>
  </si>
  <si>
    <t xml:space="preserve">09b_water_dispenser.jpg</t>
  </si>
  <si>
    <t xml:space="preserve">Dispenser in kitchen, hot water at 98 °C; SRO cleaning notice</t>
  </si>
  <si>
    <t xml:space="preserve">Standing losses</t>
  </si>
  <si>
    <t xml:space="preserve">09c</t>
  </si>
  <si>
    <t xml:space="preserve">09c_induction_cooker_spec.jpg</t>
  </si>
  <si>
    <t xml:space="preserve">Philips HD4911: 2,100 W, EEL Grade 2</t>
  </si>
  <si>
    <t xml:space="preserve">Cooking power</t>
  </si>
  <si>
    <t xml:space="preserve">09d</t>
  </si>
  <si>
    <t xml:space="preserve">09d_induction_cooker_product.jpg</t>
  </si>
  <si>
    <t xml:space="preserve">Philips 5000 Series HD4911/80 (retailer image)</t>
  </si>
  <si>
    <t xml:space="preserve">Model identification</t>
  </si>
  <si>
    <t xml:space="preserve">09e</t>
  </si>
  <si>
    <t xml:space="preserve">09e_induction_energy_label.jpg</t>
  </si>
  <si>
    <t xml:space="preserve">Energy label Grade 2, thermal efficiency 88.1% (I220011/22)</t>
  </si>
  <si>
    <t xml:space="preserve">Cooking efficiency</t>
  </si>
  <si>
    <t xml:space="preserve">09f</t>
  </si>
  <si>
    <t xml:space="preserve">09f_kitchen_split_ac.jpg</t>
  </si>
  <si>
    <t xml:space="preserve">Toshiba split AC in kitchen (also used as photo 12 - left on 8 h+)</t>
  </si>
  <si>
    <t xml:space="preserve">Kitchen AC</t>
  </si>
  <si>
    <t xml:space="preserve">09g</t>
  </si>
  <si>
    <t xml:space="preserve">09g_kitchen_ac_energy_label.jpg</t>
  </si>
  <si>
    <t xml:space="preserve">Label: 688 kWh/yr @1,200 h, 7.00 kW, R410A, Grade 1</t>
  </si>
  <si>
    <t xml:space="preserve">Kitchen AC energy</t>
  </si>
  <si>
    <t xml:space="preserve">09h</t>
  </si>
  <si>
    <t xml:space="preserve">09h_microwave.jpg</t>
  </si>
  <si>
    <t xml:space="preserve">Toshiba MW2-MM24PC 24 L, 800 W output</t>
  </si>
  <si>
    <t xml:space="preserve">Kitchen inventory</t>
  </si>
  <si>
    <t xml:space="preserve">09i_fridge_energy_label.jpg</t>
  </si>
  <si>
    <t xml:space="preserve">Panasonic NR-BV361B: Grade 1, 263 kWh/yr, 233 + 99 L</t>
  </si>
  <si>
    <t xml:space="preserve">Refrigeration energy</t>
  </si>
  <si>
    <t xml:space="preserve">Sources and references</t>
  </si>
  <si>
    <t xml:space="preserve">Short name</t>
  </si>
  <si>
    <t xml:space="preserve">Citation</t>
  </si>
  <si>
    <t xml:space="preserve">URL</t>
  </si>
  <si>
    <t xml:space="preserve">S1</t>
  </si>
  <si>
    <t xml:space="preserve">EAC 2018</t>
  </si>
  <si>
    <t xml:space="preserve">EMSD (2018) Code of Practice for Building Energy Audit (EAC 2018), Buildings Energy Efficiency Ordinance (Cap. 610). Course file EAC_2018.pdf.</t>
  </si>
  <si>
    <t xml:space="preserve">HK GHG Guidelines</t>
  </si>
  <si>
    <t xml:space="preserve">EPD &amp; EMSD (2010) Guidelines to Account for and Report on Greenhouse Gas Emissions and Removals for Buildings (Commercial, Residential or Institutional Purposes) in Hong Kong. Course file.</t>
  </si>
  <si>
    <t xml:space="preserve">EE-EAes form</t>
  </si>
  <si>
    <t xml:space="preserve">EMSD Technical Form EE-EAes (V.2) - Executive Summary of Energy Audit Report. Course file 2_EE-EAes2018 (V.0)_SEE6115-8115.xls.</t>
  </si>
  <si>
    <t xml:space="preserve">S4</t>
  </si>
  <si>
    <t xml:space="preserve">Home Energy Audit Tool</t>
  </si>
  <si>
    <t xml:space="preserve">Penn State / SMARTdwell Home Energy Audit Tool (course version). Course file 1_SEE6115-8115_Home Energy Audit Tool.xlsx.</t>
  </si>
  <si>
    <t xml:space="preserve">CLP ESG Data Hub 2025</t>
  </si>
  <si>
    <t xml:space="preserve">CLP Holdings (2026) Sustainability Report 2025 - ESG Data Hub: CO2e emissions intensity of electricity sold by CLP Power Hong Kong = 0.34 kg/kWh (2025); 0.38 (2024); 0.39 (2023).</t>
  </si>
  <si>
    <t xml:space="preserve">https://sustainability.clpgroup.com/en/2025/esg-data-hub</t>
  </si>
  <si>
    <t xml:space="preserve">CLP 2026 tariff</t>
  </si>
  <si>
    <t xml:space="preserve">CLP Power (2025) 2026 Tariff Adjustment - Average Net Tariff 140.6 cents/kWh (Basic Tariff 101.2 + Fuel Cost Adjustment 39.4).</t>
  </si>
  <si>
    <t xml:space="preserve">https://www.clp.com.hk/en/clp-power-tariff-adjustment-2026</t>
  </si>
  <si>
    <t xml:space="preserve">news.gov.hk 2026 tariffs</t>
  </si>
  <si>
    <t xml:space="preserve">news.gov.hk (18 Nov 2025) 2026 electricity tariffs reduced - typical 3-person household consuming 275 kWh/month.</t>
  </si>
  <si>
    <t xml:space="preserve">https://www.news.gov.hk/eng/2025/11/20251118/20251118_171441_586.html</t>
  </si>
  <si>
    <t xml:space="preserve">S8</t>
  </si>
  <si>
    <t xml:space="preserve">HKO normals</t>
  </si>
  <si>
    <t xml:space="preserve">Hong Kong Observatory - Climatological normals 1991-2020 (10-day and half-monthly mean air temperature, HKO Headquarters).</t>
  </si>
  <si>
    <t xml:space="preserve">https://www.hko.gov.hk/en/cis/normal/1991_2020/15day_normal.htm</t>
  </si>
  <si>
    <t xml:space="preserve">EMSD Energy Label - RAC</t>
  </si>
  <si>
    <t xml:space="preserve">EMSD Mandatory Energy Efficiency Labelling Scheme - Room air conditioners: annual energy consumption stated on the label is based on 1,200 hours/year of operation.</t>
  </si>
  <si>
    <t xml:space="preserve">https://www.emsd.gov.hk/energylabel/en/households/rac/eels_ac_eot_popup.htm</t>
  </si>
  <si>
    <t xml:space="preserve">HK GHG inventory 2023</t>
  </si>
  <si>
    <t xml:space="preserve">Environment and Ecology Bureau (17 Apr 2025) Hong Kong GHG emission inventory 2023 (AR5): about 4.58 t CO2e per capita; electricity generation 61% of total.</t>
  </si>
  <si>
    <t xml:space="preserve">https://www.news.gov.hk/eng/2025/04/20250417/20250417_120238_003.html</t>
  </si>
  <si>
    <t xml:space="preserve">WSD unit electricity</t>
  </si>
  <si>
    <t xml:space="preserve">Water Supplies Department Annual Report 2023/24 (as cited by HKGBC): unit electricity consumption 0.624 kWh/m3 fresh water, 0.362 kWh/m3 salt water.</t>
  </si>
  <si>
    <t xml:space="preserve">https://hkgbc.org.hk/eng/resources/publications/HKGBC-Publication/Reports/green-building-in-action/references/2025.jsp</t>
  </si>
  <si>
    <t xml:space="preserve">DSD unit electricity</t>
  </si>
  <si>
    <t xml:space="preserve">Drainage Services Department Sustainability Report 2021/22 (as cited by HKU Water Centre): average unit electricity consumption of sewage treated 0.29 kWh/m3.</t>
  </si>
  <si>
    <t xml:space="preserve">https://water.hku.hk/wp-content/uploads/2024/05/221200-ECF_Final-report_website-updates.pdf</t>
  </si>
  <si>
    <t xml:space="preserve">HKU Water Centre</t>
  </si>
  <si>
    <t xml:space="preserve">HKU Water Centre - Water conservation: per-capita domestic fresh water consumption 120.9 L/day (2023/24); ~85% of population uses seawater for flushing.</t>
  </si>
  <si>
    <t xml:space="preserve">https://water.hku.hk/water-conservation/</t>
  </si>
  <si>
    <t xml:space="preserve">LegCo LCQ5 (2012)</t>
  </si>
  <si>
    <t xml:space="preserve">HKSAR Government (4 Jul 2012) LCQ5: raising indoor temperature by 1 degC can reduce AC electricity by around 3%; 25.5 degC guideline.</t>
  </si>
  <si>
    <t xml:space="preserve">https://www.info.gov.hk/gia/general/201207/04/P201207040635.htm</t>
  </si>
  <si>
    <t xml:space="preserve">S15</t>
  </si>
  <si>
    <t xml:space="preserve">CityU LSK Village</t>
  </si>
  <si>
    <t xml:space="preserve">CityUHK (11 Dec 2024) Opening and Naming Ceremony for Lee Shau Kee Student Residence Village, Ma On Shan - 6 halls in 3 towers, ~2,100 residents, MiC with 1,300+ modules, opened Q3 2024, 110 rooftop PV panels.</t>
  </si>
  <si>
    <t xml:space="preserve">https://www.cityu.edu.hk/en/media/press-release/2024/12/11/cityuhk-holds-opening-and-naming-ceremony-lee-shau-kee-student-residence-village</t>
  </si>
  <si>
    <t xml:space="preserve">Stiebel Eltron DHB-E 27 SLi electronic instantaneous water heater: 27 kW at 400 V / 24.4 kW at 380 V, max 13.8 L/min (HK distributor listing).</t>
  </si>
  <si>
    <t xml:space="preserve">https://hkele.com.hk/en/DHBE27SLI</t>
  </si>
  <si>
    <t xml:space="preserve">MTR Corporation CDP Climate Change 2022 response: Hong Kong rail intensity 0.0000723 t CO2e per passenger-km (1,079,402 t / 14.93 bn p-km).</t>
  </si>
  <si>
    <t xml:space="preserve">https://www.mtr.com.hk/sustainability/assets/pdf/en/2022/MTR_CDP_Response.pdf</t>
  </si>
  <si>
    <t xml:space="preserve">DESNZ 2025 factors</t>
  </si>
  <si>
    <t xml:space="preserve">UK DESNZ (2025) Greenhouse gas reporting: conversion factors 2025 - Business travel (air), economy class, with radiative forcing (long-haul 0.11704 kg CO2e/p-km).</t>
  </si>
  <si>
    <t xml:space="preserve">https://www.gov.uk/government/publications/greenhouse-gas-reporting-conversion-factors-2025</t>
  </si>
  <si>
    <t xml:space="preserve">Scarborough et al. 2014</t>
  </si>
  <si>
    <t xml:space="preserve">Scarborough P. et al. (2014) Dietary greenhouse gas emissions of meat-eaters, fish-eaters, vegetarians and vegans in the UK. Climatic Change 125:179-192 (medium meat-eaters 5.63 kg CO2e/day).</t>
  </si>
  <si>
    <t xml:space="preserve">https://www.oxfordmartin.ox.ac.uk/publications/dietary-greenhouse-gas-emissions-of-meat-eaters-fish-eaters-vegetarians-and-vegans-in-the-uk</t>
  </si>
  <si>
    <t xml:space="preserve">ENERGY STAR water coolers</t>
  </si>
  <si>
    <t xml:space="preserve">US EPA ENERGY STAR Water Coolers Specification V2.0: storage-type hot &amp; cold units &lt;= 0.87 kWh/day standby.</t>
  </si>
  <si>
    <t xml:space="preserve">https://www.energystar.gov/sites/default/files/ES%20WC%20V2%200%20Spec.pdf</t>
  </si>
  <si>
    <t xml:space="preserve">IPCC 2006 refrigerant</t>
  </si>
  <si>
    <t xml:space="preserve">IPCC (2006) Guidelines Vol.3 Ch.7 - operating emission factor for residential &amp; commercial AC 1-10% of charge per year (summary: ASHRAE Journal, Oct 2022).</t>
  </si>
  <si>
    <t xml:space="preserve">https://www.ashrae.org/technical-resources/ashrae-journal/featured-articles/october-2022-analysis-of-refrigerant-use-for-ac-equipment-maintenance</t>
  </si>
  <si>
    <t xml:space="preserve">S22</t>
  </si>
  <si>
    <t xml:space="preserve">CLP Feed-in Tariff</t>
  </si>
  <si>
    <t xml:space="preserve">CLP Power (26 Apr 2022) Feed-in Tariff rates: HK$4/kWh (&lt;=10 kW), HK$3/kWh (&gt;10-200 kW), HK$2.5/kWh (&gt;200 kW-1 MW).</t>
  </si>
  <si>
    <t xml:space="preserve">https://www.clpgroup.com/content/dam/clp-group/channels/media/document/2022/20220426_en.pdf.coredownload.pdf</t>
  </si>
  <si>
    <t xml:space="preserve">DEVB LCQ22</t>
  </si>
  <si>
    <t xml:space="preserve">Development Bureau LCQ22: median per-capita floor area of domestic households 172 sq ft (~16 m2), 2021 Population Census.</t>
  </si>
  <si>
    <t xml:space="preserve">https://www.devb.gov.hk/en/sdev/press/index_id_11447.html</t>
  </si>
  <si>
    <t xml:space="preserve">BEC 2021 LPD</t>
  </si>
  <si>
    <t xml:space="preserve">EMSD - BEC 2021 vs BEC 2024 comparison: maximum lighting power density, Dormitory 6.2 W/m2 (BEC 2021), 6.1 W/m2 (BEC 2024).</t>
  </si>
  <si>
    <t xml:space="preserve">https://emsd.gov.hk/beeo/en/pee/BEC2021vsBEC2024.pdf</t>
  </si>
  <si>
    <t xml:space="preserve">HK hostel AC tariffs</t>
  </si>
  <si>
    <t xml:space="preserve">Comparator hostel AC charges: HKU Jockey Club Student Village IV HK$2.31/kWh (2025/26); CUHK hostels HK$1.2/kWh.</t>
  </si>
  <si>
    <t xml:space="preserve">https://wys.cuhk.edu.hk/college-life-support/information-for-residents/</t>
  </si>
  <si>
    <t xml:space="preserve">S26</t>
  </si>
  <si>
    <t xml:space="preserve">LBNL coil fouling</t>
  </si>
  <si>
    <t xml:space="preserve">Siegel J. et al. (2002) Dirty air conditioners: energy implications of coil fouling, LBNL - typical efficiency/capacity degradation &lt; 5%.</t>
  </si>
  <si>
    <t xml:space="preserve">https://www.osti.gov/biblio/805122</t>
  </si>
  <si>
    <t xml:space="preserve">S27</t>
  </si>
  <si>
    <t xml:space="preserve">Consumer Council 2026</t>
  </si>
  <si>
    <t xml:space="preserve">Consumer Council (May 2026) test of 13 x 1.5 HP Grade-1 inverter split ACs: CSPF 5.06-7.51 (RTHK report).</t>
  </si>
  <si>
    <t xml:space="preserve">https://news.rthk.hk/rthk/en/component/k2/1854660-20260514.htm</t>
  </si>
  <si>
    <t xml:space="preserve">Midea MW-12CRF8E 1.5 HP R32 inverter window AC - HK retailer specification (auditor screenshot + listing).</t>
  </si>
  <si>
    <t xml:space="preserve">https://www.feverelectrics.com/en/products/midea-mw12crf8e-1-5hp-r32-inverter-window-type-air-conditioner</t>
  </si>
  <si>
    <t xml:space="preserve">Auditor questionnaire &amp; photos</t>
  </si>
  <si>
    <t xml:space="preserve">Auditor's completed questionnaire (audit-inputs/QUESTIONNAIRE.md) and 26 site photographs (photos/), Oct 2026.</t>
  </si>
  <si>
    <t xml:space="preserve">S30</t>
  </si>
  <si>
    <t xml:space="preserve">HKSAR Govt (2024) buildings ~90% of electricity</t>
  </si>
  <si>
    <t xml:space="preserve">HKSAR Government press release (26 Jun 2024) Energy Saving and Decarbonisation for All campaign: buildings account for about 90% of Hong Kong's electricity consumption.</t>
  </si>
  <si>
    <t xml:space="preserve">https://www.info.gov.hk/gia/general/202406/26/P2024062600623.htm</t>
  </si>
  <si>
    <t xml:space="preserve">S31</t>
  </si>
  <si>
    <t xml:space="preserve">Climate Action Plan 2050</t>
  </si>
  <si>
    <t xml:space="preserve">HKSAR Government (8 Oct 2021) Hong Kong's Climate Action Plan 2050: carbon neutrality before 2050; halve emissions by 2035 vs 2005; cut residential-building electricity use 20-30% (commercial 30-40%) from 2015 levels by 2050, half of that by 2035.</t>
  </si>
  <si>
    <t xml:space="preserve">https://www.info.gov.hk/gia/general/202110/08/P2021100800588.htm</t>
  </si>
  <si>
    <t xml:space="preserve">S32</t>
  </si>
  <si>
    <t xml:space="preserve">US DOE Energy Saver</t>
  </si>
  <si>
    <t xml:space="preserve">US Department of Energy, Energy Saver - Maintaining your air conditioner: replacing a dirty, clogged filter with a clean one can lower AC energy consumption by 5% to 15%.</t>
  </si>
  <si>
    <t xml:space="preserve">https://www.energy.gov/energysaver/maintaining-your-air-conditioner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</si>
</sst>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"/>
    <numFmt numFmtId="167" formatCode="#,##0.0"/>
    <numFmt numFmtId="168" formatCode="0.0%"/>
    <numFmt numFmtId="169" formatCode="0.000"/>
    <numFmt numFmtId="170" formatCode="0.00"/>
    <numFmt numFmtId="171" formatCode="0.0000"/>
    <numFmt numFmtId="172" formatCode="0.00000"/>
    <numFmt numFmtId="173" formatCode="&quot;HK$&quot;#,##0"/>
    <numFmt numFmtId="174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5F"/>
        <bgColor rgb="FF1F3864"/>
      </patternFill>
    </fill>
    <fill>
      <patternFill patternType="solid">
        <fgColor rgb="FFDCE6F0"/>
        <bgColor rgb="FFE2EFDA"/>
      </patternFill>
    </fill>
    <fill>
      <patternFill patternType="solid">
        <fgColor rgb="FFE2EFDA"/>
        <bgColor rgb="FFDCE6F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7F7F7F"/>
      <rgbColor rgb="FF93A9CE"/>
      <rgbColor rgb="FFAB4744"/>
      <rgbColor rgb="FFFFF2CC"/>
      <rgbColor rgb="FFDCE6F0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B8CD97"/>
      <rgbColor rgb="FFD09493"/>
      <rgbColor rgb="FFA99BBD"/>
      <rgbColor rgb="FFFFCC99"/>
      <rgbColor rgb="FF4672A8"/>
      <rgbColor rgb="FF33CCCC"/>
      <rgbColor rgb="FF9BBB59"/>
      <rgbColor rgb="FFFFCC00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C0504D"/>
      <rgbColor rgb="FF595959"/>
      <rgbColor rgb="FF1F4E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Room AC energy by month: top-down vs bottom-up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AC_Baseline!E5</c:f>
              <c:strCache>
                <c:ptCount val="1"/>
                <c:pt idx="0">
                  <c:v>Top-down kWh (spend ÷ tariff)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AC_Baseline!$A$6:$A$17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AC_Baseline!$E$6:$E$17</c:f>
              <c:numCache>
                <c:formatCode>#,##0.0</c:formatCode>
                <c:ptCount val="12"/>
                <c:pt idx="0">
                  <c:v>35.5618776671408</c:v>
                </c:pt>
                <c:pt idx="1">
                  <c:v>35.5618776671408</c:v>
                </c:pt>
                <c:pt idx="2">
                  <c:v>35.5618776671408</c:v>
                </c:pt>
                <c:pt idx="3">
                  <c:v>35.5618776671408</c:v>
                </c:pt>
                <c:pt idx="4">
                  <c:v>99.5732574679943</c:v>
                </c:pt>
                <c:pt idx="5">
                  <c:v>99.5732574679943</c:v>
                </c:pt>
                <c:pt idx="6">
                  <c:v>99.5732574679943</c:v>
                </c:pt>
                <c:pt idx="7">
                  <c:v>99.5732574679943</c:v>
                </c:pt>
                <c:pt idx="8">
                  <c:v>99.5732574679943</c:v>
                </c:pt>
                <c:pt idx="9">
                  <c:v>99.5732574679943</c:v>
                </c:pt>
                <c:pt idx="10">
                  <c:v>35.5618776671408</c:v>
                </c:pt>
                <c:pt idx="11">
                  <c:v>35.5618776671408</c:v>
                </c:pt>
              </c:numCache>
            </c:numRef>
          </c:val>
        </c:ser>
        <c:ser>
          <c:idx val="1"/>
          <c:order val="1"/>
          <c:tx>
            <c:strRef>
              <c:f>AC_Baseline!G5</c:f>
              <c:strCache>
                <c:ptCount val="1"/>
                <c:pt idx="0">
                  <c:v>Bottom-up kWh (label kW × hours)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AC_Baseline!$A$6:$A$17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AC_Baseline!$G$6:$G$17</c:f>
              <c:numCache>
                <c:formatCode>#,##0.0</c:formatCode>
                <c:ptCount val="12"/>
                <c:pt idx="0">
                  <c:v>37.4066666666667</c:v>
                </c:pt>
                <c:pt idx="1">
                  <c:v>33.7866666666667</c:v>
                </c:pt>
                <c:pt idx="2">
                  <c:v>37.4066666666667</c:v>
                </c:pt>
                <c:pt idx="3">
                  <c:v>36.2</c:v>
                </c:pt>
                <c:pt idx="4">
                  <c:v>112.22</c:v>
                </c:pt>
                <c:pt idx="5">
                  <c:v>108.6</c:v>
                </c:pt>
                <c:pt idx="6">
                  <c:v>112.22</c:v>
                </c:pt>
                <c:pt idx="7">
                  <c:v>112.22</c:v>
                </c:pt>
                <c:pt idx="8">
                  <c:v>108.6</c:v>
                </c:pt>
                <c:pt idx="9">
                  <c:v>112.22</c:v>
                </c:pt>
                <c:pt idx="10">
                  <c:v>36.2</c:v>
                </c:pt>
                <c:pt idx="11">
                  <c:v>37.4066666666667</c:v>
                </c:pt>
              </c:numCache>
            </c:numRef>
          </c:val>
        </c:ser>
        <c:gapWidth val="150"/>
        <c:overlap val="0"/>
        <c:axId val="55289745"/>
        <c:axId val="99205648"/>
      </c:barChart>
      <c:catAx>
        <c:axId val="55289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05648"/>
        <c:crosses val="autoZero"/>
        <c:auto val="1"/>
        <c:lblAlgn val="ctr"/>
        <c:lblOffset val="100"/>
        <c:noMultiLvlLbl val="0"/>
      </c:catAx>
      <c:valAx>
        <c:axId val="99205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kWh/month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89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Household electricity by month and end-use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Monthly!D5</c:f>
              <c:strCache>
                <c:ptCount val="1"/>
                <c:pt idx="0">
                  <c:v>Room AC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Monthly!$D$6:$D$17</c:f>
              <c:numCache>
                <c:formatCode>#,##0.0</c:formatCode>
                <c:ptCount val="12"/>
                <c:pt idx="0">
                  <c:v>35.5618776671408</c:v>
                </c:pt>
                <c:pt idx="1">
                  <c:v>35.5618776671408</c:v>
                </c:pt>
                <c:pt idx="2">
                  <c:v>35.5618776671408</c:v>
                </c:pt>
                <c:pt idx="3">
                  <c:v>35.5618776671408</c:v>
                </c:pt>
                <c:pt idx="4">
                  <c:v>99.5732574679943</c:v>
                </c:pt>
                <c:pt idx="5">
                  <c:v>99.5732574679943</c:v>
                </c:pt>
                <c:pt idx="6">
                  <c:v>99.5732574679943</c:v>
                </c:pt>
                <c:pt idx="7">
                  <c:v>99.5732574679943</c:v>
                </c:pt>
                <c:pt idx="8">
                  <c:v>99.5732574679943</c:v>
                </c:pt>
                <c:pt idx="9">
                  <c:v>99.5732574679943</c:v>
                </c:pt>
                <c:pt idx="10">
                  <c:v>35.5618776671408</c:v>
                </c:pt>
                <c:pt idx="11">
                  <c:v>35.5618776671408</c:v>
                </c:pt>
              </c:numCache>
            </c:numRef>
          </c:val>
        </c:ser>
        <c:ser>
          <c:idx val="1"/>
          <c:order val="1"/>
          <c:tx>
            <c:strRef>
              <c:f>Monthly!E5</c:f>
              <c:strCache>
                <c:ptCount val="1"/>
                <c:pt idx="0">
                  <c:v>Desk fan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Monthly!$E$6:$E$17</c:f>
              <c:numCache>
                <c:formatCode>#,##0.0</c:formatCode>
                <c:ptCount val="12"/>
                <c:pt idx="0">
                  <c:v>7.44</c:v>
                </c:pt>
                <c:pt idx="1">
                  <c:v>6.72</c:v>
                </c:pt>
                <c:pt idx="2">
                  <c:v>7.44</c:v>
                </c:pt>
                <c:pt idx="3">
                  <c:v>7.2</c:v>
                </c:pt>
                <c:pt idx="4">
                  <c:v>7.44</c:v>
                </c:pt>
                <c:pt idx="5">
                  <c:v>7.2</c:v>
                </c:pt>
                <c:pt idx="6">
                  <c:v>7.44</c:v>
                </c:pt>
                <c:pt idx="7">
                  <c:v>7.44</c:v>
                </c:pt>
                <c:pt idx="8">
                  <c:v>7.2</c:v>
                </c:pt>
                <c:pt idx="9">
                  <c:v>7.44</c:v>
                </c:pt>
                <c:pt idx="10">
                  <c:v>7.2</c:v>
                </c:pt>
                <c:pt idx="11">
                  <c:v>7.44</c:v>
                </c:pt>
              </c:numCache>
            </c:numRef>
          </c:val>
        </c:ser>
        <c:ser>
          <c:idx val="2"/>
          <c:order val="2"/>
          <c:tx>
            <c:strRef>
              <c:f>Monthly!F5</c:f>
              <c:strCache>
                <c:ptCount val="1"/>
                <c:pt idx="0">
                  <c:v>Room lighting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Monthly!$F$6:$F$17</c:f>
              <c:numCache>
                <c:formatCode>#,##0.0</c:formatCode>
                <c:ptCount val="12"/>
                <c:pt idx="0">
                  <c:v>9.92</c:v>
                </c:pt>
                <c:pt idx="1">
                  <c:v>8.96</c:v>
                </c:pt>
                <c:pt idx="2">
                  <c:v>9.92</c:v>
                </c:pt>
                <c:pt idx="3">
                  <c:v>9.6</c:v>
                </c:pt>
                <c:pt idx="4">
                  <c:v>9.92</c:v>
                </c:pt>
                <c:pt idx="5">
                  <c:v>9.6</c:v>
                </c:pt>
                <c:pt idx="6">
                  <c:v>9.92</c:v>
                </c:pt>
                <c:pt idx="7">
                  <c:v>9.92</c:v>
                </c:pt>
                <c:pt idx="8">
                  <c:v>9.6</c:v>
                </c:pt>
                <c:pt idx="9">
                  <c:v>9.92</c:v>
                </c:pt>
                <c:pt idx="10">
                  <c:v>9.6</c:v>
                </c:pt>
                <c:pt idx="11">
                  <c:v>9.92</c:v>
                </c:pt>
              </c:numCache>
            </c:numRef>
          </c:val>
        </c:ser>
        <c:ser>
          <c:idx val="3"/>
          <c:order val="3"/>
          <c:tx>
            <c:strRef>
              <c:f>Monthly!G5</c:f>
              <c:strCache>
                <c:ptCount val="1"/>
                <c:pt idx="0">
                  <c:v>Room plug loads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Monthly!$G$6:$G$17</c:f>
              <c:numCache>
                <c:formatCode>#,##0.0</c:formatCode>
                <c:ptCount val="12"/>
                <c:pt idx="0">
                  <c:v>17.36</c:v>
                </c:pt>
                <c:pt idx="1">
                  <c:v>15.68</c:v>
                </c:pt>
                <c:pt idx="2">
                  <c:v>17.36</c:v>
                </c:pt>
                <c:pt idx="3">
                  <c:v>16.8</c:v>
                </c:pt>
                <c:pt idx="4">
                  <c:v>17.36</c:v>
                </c:pt>
                <c:pt idx="5">
                  <c:v>16.8</c:v>
                </c:pt>
                <c:pt idx="6">
                  <c:v>17.36</c:v>
                </c:pt>
                <c:pt idx="7">
                  <c:v>17.36</c:v>
                </c:pt>
                <c:pt idx="8">
                  <c:v>16.8</c:v>
                </c:pt>
                <c:pt idx="9">
                  <c:v>17.36</c:v>
                </c:pt>
                <c:pt idx="10">
                  <c:v>16.8</c:v>
                </c:pt>
                <c:pt idx="11">
                  <c:v>17.36</c:v>
                </c:pt>
              </c:numCache>
            </c:numRef>
          </c:val>
        </c:ser>
        <c:ser>
          <c:idx val="4"/>
          <c:order val="4"/>
          <c:tx>
            <c:strRef>
              <c:f>Monthly!H5</c:f>
              <c:strCache>
                <c:ptCount val="1"/>
                <c:pt idx="0">
                  <c:v>Hot water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Monthly!$H$6:$H$17</c:f>
              <c:numCache>
                <c:formatCode>#,##0.0</c:formatCode>
                <c:ptCount val="12"/>
                <c:pt idx="0">
                  <c:v>77.007601010101</c:v>
                </c:pt>
                <c:pt idx="1">
                  <c:v>67.7793737373737</c:v>
                </c:pt>
                <c:pt idx="2">
                  <c:v>67.5045353535354</c:v>
                </c:pt>
                <c:pt idx="3">
                  <c:v>53.9106060606061</c:v>
                </c:pt>
                <c:pt idx="4">
                  <c:v>44.8937929292929</c:v>
                </c:pt>
                <c:pt idx="5">
                  <c:v>37.1031818181818</c:v>
                </c:pt>
                <c:pt idx="6">
                  <c:v>36.373803030303</c:v>
                </c:pt>
                <c:pt idx="7">
                  <c:v>37.0291868686869</c:v>
                </c:pt>
                <c:pt idx="8">
                  <c:v>38.3716666666667</c:v>
                </c:pt>
                <c:pt idx="9">
                  <c:v>46.8599444444445</c:v>
                </c:pt>
                <c:pt idx="10">
                  <c:v>56.4475757575758</c:v>
                </c:pt>
                <c:pt idx="11">
                  <c:v>71.4368383838384</c:v>
                </c:pt>
              </c:numCache>
            </c:numRef>
          </c:val>
        </c:ser>
        <c:ser>
          <c:idx val="5"/>
          <c:order val="5"/>
          <c:tx>
            <c:strRef>
              <c:f>Monthly!I5</c:f>
              <c:strCache>
                <c:ptCount val="1"/>
                <c:pt idx="0">
                  <c:v>Washroom fan + lights (share)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Monthly!$I$6:$I$17</c:f>
              <c:numCache>
                <c:formatCode>#,##0.0</c:formatCode>
                <c:ptCount val="12"/>
                <c:pt idx="0">
                  <c:v>12.555</c:v>
                </c:pt>
                <c:pt idx="1">
                  <c:v>11.34</c:v>
                </c:pt>
                <c:pt idx="2">
                  <c:v>12.555</c:v>
                </c:pt>
                <c:pt idx="3">
                  <c:v>12.15</c:v>
                </c:pt>
                <c:pt idx="4">
                  <c:v>12.555</c:v>
                </c:pt>
                <c:pt idx="5">
                  <c:v>12.15</c:v>
                </c:pt>
                <c:pt idx="6">
                  <c:v>12.555</c:v>
                </c:pt>
                <c:pt idx="7">
                  <c:v>12.555</c:v>
                </c:pt>
                <c:pt idx="8">
                  <c:v>12.15</c:v>
                </c:pt>
                <c:pt idx="9">
                  <c:v>12.555</c:v>
                </c:pt>
                <c:pt idx="10">
                  <c:v>12.15</c:v>
                </c:pt>
                <c:pt idx="11">
                  <c:v>12.555</c:v>
                </c:pt>
              </c:numCache>
            </c:numRef>
          </c:val>
        </c:ser>
        <c:ser>
          <c:idx val="6"/>
          <c:order val="6"/>
          <c:tx>
            <c:strRef>
              <c:f>Monthly!J5</c:f>
              <c:strCache>
                <c:ptCount val="1"/>
                <c:pt idx="0">
                  <c:v>Kitchen AC (share)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Monthly!$J$6:$J$17</c:f>
              <c:numCache>
                <c:formatCode>#,##0.0</c:formatCode>
                <c:ptCount val="12"/>
                <c:pt idx="0">
                  <c:v>4.44333333333333</c:v>
                </c:pt>
                <c:pt idx="1">
                  <c:v>4.01333333333333</c:v>
                </c:pt>
                <c:pt idx="2">
                  <c:v>4.44333333333333</c:v>
                </c:pt>
                <c:pt idx="3">
                  <c:v>4.3</c:v>
                </c:pt>
                <c:pt idx="4">
                  <c:v>8.88666666666667</c:v>
                </c:pt>
                <c:pt idx="5">
                  <c:v>8.6</c:v>
                </c:pt>
                <c:pt idx="6">
                  <c:v>8.88666666666667</c:v>
                </c:pt>
                <c:pt idx="7">
                  <c:v>8.88666666666667</c:v>
                </c:pt>
                <c:pt idx="8">
                  <c:v>8.6</c:v>
                </c:pt>
                <c:pt idx="9">
                  <c:v>8.88666666666667</c:v>
                </c:pt>
                <c:pt idx="10">
                  <c:v>4.3</c:v>
                </c:pt>
                <c:pt idx="11">
                  <c:v>4.44333333333333</c:v>
                </c:pt>
              </c:numCache>
            </c:numRef>
          </c:val>
        </c:ser>
        <c:ser>
          <c:idx val="7"/>
          <c:order val="7"/>
          <c:tx>
            <c:strRef>
              <c:f>Monthly!K5</c:f>
              <c:strCache>
                <c:ptCount val="1"/>
                <c:pt idx="0">
                  <c:v>Kitchen fridges, dispenser, lights (share)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Monthly!$K$6:$K$17</c:f>
              <c:numCache>
                <c:formatCode>#,##0.0</c:formatCode>
                <c:ptCount val="12"/>
                <c:pt idx="0">
                  <c:v>8.48837328767123</c:v>
                </c:pt>
                <c:pt idx="1">
                  <c:v>7.66691780821918</c:v>
                </c:pt>
                <c:pt idx="2">
                  <c:v>8.48837328767123</c:v>
                </c:pt>
                <c:pt idx="3">
                  <c:v>8.21455479452055</c:v>
                </c:pt>
                <c:pt idx="4">
                  <c:v>8.48837328767123</c:v>
                </c:pt>
                <c:pt idx="5">
                  <c:v>8.21455479452055</c:v>
                </c:pt>
                <c:pt idx="6">
                  <c:v>8.48837328767123</c:v>
                </c:pt>
                <c:pt idx="7">
                  <c:v>8.48837328767123</c:v>
                </c:pt>
                <c:pt idx="8">
                  <c:v>8.21455479452055</c:v>
                </c:pt>
                <c:pt idx="9">
                  <c:v>8.48837328767123</c:v>
                </c:pt>
                <c:pt idx="10">
                  <c:v>8.21455479452055</c:v>
                </c:pt>
                <c:pt idx="11">
                  <c:v>8.48837328767123</c:v>
                </c:pt>
              </c:numCache>
            </c:numRef>
          </c:val>
        </c:ser>
        <c:ser>
          <c:idx val="8"/>
          <c:order val="8"/>
          <c:tx>
            <c:strRef>
              <c:f>Monthly!L5</c:f>
              <c:strCache>
                <c:ptCount val="1"/>
                <c:pt idx="0">
                  <c:v>Cooking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Monthly!$L$6:$L$17</c:f>
              <c:numCache>
                <c:formatCode>#,##0.0</c:formatCode>
                <c:ptCount val="12"/>
                <c:pt idx="0">
                  <c:v>26.4986301369863</c:v>
                </c:pt>
                <c:pt idx="1">
                  <c:v>23.9342465753425</c:v>
                </c:pt>
                <c:pt idx="2">
                  <c:v>26.4986301369863</c:v>
                </c:pt>
                <c:pt idx="3">
                  <c:v>25.6438356164384</c:v>
                </c:pt>
                <c:pt idx="4">
                  <c:v>26.4986301369863</c:v>
                </c:pt>
                <c:pt idx="5">
                  <c:v>25.6438356164384</c:v>
                </c:pt>
                <c:pt idx="6">
                  <c:v>26.4986301369863</c:v>
                </c:pt>
                <c:pt idx="7">
                  <c:v>26.4986301369863</c:v>
                </c:pt>
                <c:pt idx="8">
                  <c:v>25.6438356164384</c:v>
                </c:pt>
                <c:pt idx="9">
                  <c:v>26.4986301369863</c:v>
                </c:pt>
                <c:pt idx="10">
                  <c:v>25.6438356164384</c:v>
                </c:pt>
                <c:pt idx="11">
                  <c:v>26.4986301369863</c:v>
                </c:pt>
              </c:numCache>
            </c:numRef>
          </c:val>
        </c:ser>
        <c:ser>
          <c:idx val="9"/>
          <c:order val="9"/>
          <c:tx>
            <c:strRef>
              <c:f>Monthly!M5</c:f>
              <c:strCache>
                <c:ptCount val="1"/>
                <c:pt idx="0">
                  <c:v>Laundry</c:v>
                </c:pt>
              </c:strCache>
            </c:strRef>
          </c:tx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Monthly!$M$6:$M$17</c:f>
              <c:numCache>
                <c:formatCode>#,##0.0</c:formatCode>
                <c:ptCount val="12"/>
                <c:pt idx="0">
                  <c:v>7.94958904109589</c:v>
                </c:pt>
                <c:pt idx="1">
                  <c:v>7.18027397260274</c:v>
                </c:pt>
                <c:pt idx="2">
                  <c:v>7.94958904109589</c:v>
                </c:pt>
                <c:pt idx="3">
                  <c:v>7.69315068493151</c:v>
                </c:pt>
                <c:pt idx="4">
                  <c:v>7.94958904109589</c:v>
                </c:pt>
                <c:pt idx="5">
                  <c:v>7.69315068493151</c:v>
                </c:pt>
                <c:pt idx="6">
                  <c:v>7.94958904109589</c:v>
                </c:pt>
                <c:pt idx="7">
                  <c:v>7.94958904109589</c:v>
                </c:pt>
                <c:pt idx="8">
                  <c:v>7.69315068493151</c:v>
                </c:pt>
                <c:pt idx="9">
                  <c:v>7.94958904109589</c:v>
                </c:pt>
                <c:pt idx="10">
                  <c:v>7.69315068493151</c:v>
                </c:pt>
                <c:pt idx="11">
                  <c:v>7.94958904109589</c:v>
                </c:pt>
              </c:numCache>
            </c:numRef>
          </c:val>
        </c:ser>
        <c:gapWidth val="150"/>
        <c:overlap val="100"/>
        <c:axId val="62804495"/>
        <c:axId val="91182989"/>
      </c:barChart>
      <c:catAx>
        <c:axId val="6280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82989"/>
        <c:crosses val="autoZero"/>
        <c:auto val="1"/>
        <c:lblAlgn val="ctr"/>
        <c:lblOffset val="100"/>
        <c:noMultiLvlLbl val="0"/>
      </c:catAx>
      <c:valAx>
        <c:axId val="91182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kWh/month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044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Household electricity by EAC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Breakdown!D20</c:f>
              <c:strCache>
                <c:ptCount val="1"/>
                <c:pt idx="0">
                  <c:v>Household kWh/yr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Breakdown!$A$21:$A$23</c:f>
              <c:strCache>
                <c:ptCount val="3"/>
                <c:pt idx="0">
                  <c:v>Air-conditioning</c:v>
                </c:pt>
                <c:pt idx="1">
                  <c:v>Lighting</c:v>
                </c:pt>
                <c:pt idx="2">
                  <c:v>Others</c:v>
                </c:pt>
              </c:strCache>
            </c:strRef>
          </c:cat>
          <c:val>
            <c:numRef>
              <c:f>Breakdown!$D$21:$D$23</c:f>
              <c:numCache>
                <c:formatCode>#,##0.0</c:formatCode>
                <c:ptCount val="3"/>
                <c:pt idx="0">
                  <c:v>1108.50081081081</c:v>
                </c:pt>
                <c:pt idx="1">
                  <c:v>166.075</c:v>
                </c:pt>
                <c:pt idx="2">
                  <c:v>1311.81185606061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Household electricity by end-use (kWh/yr)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Breakdown!B5</c:f>
              <c:strCache>
                <c:ptCount val="1"/>
                <c:pt idx="0">
                  <c:v>kWh/yr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Breakdown!$A$6:$A$15</c:f>
              <c:strCache>
                <c:ptCount val="10"/>
                <c:pt idx="0">
                  <c:v>Air-conditioning</c:v>
                </c:pt>
                <c:pt idx="1">
                  <c:v>Hot water</c:v>
                </c:pt>
                <c:pt idx="2">
                  <c:v>Cooking</c:v>
                </c:pt>
                <c:pt idx="3">
                  <c:v>Plug loads</c:v>
                </c:pt>
                <c:pt idx="4">
                  <c:v>Lighting</c:v>
                </c:pt>
                <c:pt idx="5">
                  <c:v>Ventilation</c:v>
                </c:pt>
                <c:pt idx="6">
                  <c:v>Air movement (fan)</c:v>
                </c:pt>
                <c:pt idx="7">
                  <c:v>Laundry</c:v>
                </c:pt>
                <c:pt idx="8">
                  <c:v>Drinking water</c:v>
                </c:pt>
                <c:pt idx="9">
                  <c:v>Refrigeration</c:v>
                </c:pt>
              </c:strCache>
            </c:strRef>
          </c:cat>
          <c:val>
            <c:numRef>
              <c:f>Breakdown!$B$6:$B$15</c:f>
              <c:numCache>
                <c:formatCode>#,##0.0</c:formatCode>
                <c:ptCount val="10"/>
                <c:pt idx="0">
                  <c:v>889.500810810811</c:v>
                </c:pt>
                <c:pt idx="1">
                  <c:v>634.718106060606</c:v>
                </c:pt>
                <c:pt idx="2">
                  <c:v>312</c:v>
                </c:pt>
                <c:pt idx="3">
                  <c:v>204.4</c:v>
                </c:pt>
                <c:pt idx="4">
                  <c:v>166.075</c:v>
                </c:pt>
                <c:pt idx="5">
                  <c:v>131.4</c:v>
                </c:pt>
                <c:pt idx="6">
                  <c:v>87.6</c:v>
                </c:pt>
                <c:pt idx="7">
                  <c:v>93.6</c:v>
                </c:pt>
                <c:pt idx="8">
                  <c:v>34.21875</c:v>
                </c:pt>
                <c:pt idx="9">
                  <c:v>32.875</c:v>
                </c:pt>
              </c:numCache>
            </c:numRef>
          </c:val>
        </c:ser>
        <c:gapWidth val="150"/>
        <c:overlap val="0"/>
        <c:axId val="80088562"/>
        <c:axId val="14272731"/>
      </c:barChart>
      <c:catAx>
        <c:axId val="80088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72731"/>
        <c:crosses val="autoZero"/>
        <c:auto val="1"/>
        <c:lblAlgn val="ctr"/>
        <c:lblOffset val="100"/>
        <c:noMultiLvlLbl val="0"/>
      </c:catAx>
      <c:valAx>
        <c:axId val="14272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88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Household emissions by scope (kg CO2e/yr)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GHG_Inventory!B52</c:f>
              <c:strCache>
                <c:ptCount val="1"/>
                <c:pt idx="0">
                  <c:v>kg CO2e/yr (CLP-specific)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GHG_Inventory!$A$53:$A$55</c:f>
              <c:strCache>
                <c:ptCount val="3"/>
                <c:pt idx="0">
                  <c:v>Scope 1 - direct (refrigerant screening)</c:v>
                </c:pt>
                <c:pt idx="1">
                  <c:v>Scope 2 - purchased electricity</c:v>
                </c:pt>
                <c:pt idx="2">
                  <c:v>Scope 3 - water, sewage, paper</c:v>
                </c:pt>
              </c:strCache>
            </c:strRef>
          </c:cat>
          <c:val>
            <c:numRef>
              <c:f>GHG_Inventory!$B$53:$B$55</c:f>
              <c:numCache>
                <c:formatCode>#,##0.0</c:formatCode>
                <c:ptCount val="3"/>
                <c:pt idx="0">
                  <c:v>16.4375</c:v>
                </c:pt>
                <c:pt idx="1">
                  <c:v>879.371806736282</c:v>
                </c:pt>
                <c:pt idx="2">
                  <c:v>43.310128</c:v>
                </c:pt>
              </c:numCache>
            </c:numRef>
          </c:val>
        </c:ser>
        <c:ser>
          <c:idx val="1"/>
          <c:order val="1"/>
          <c:tx>
            <c:strRef>
              <c:f>GHG_Inventory!C52</c:f>
              <c:strCache>
                <c:ptCount val="1"/>
                <c:pt idx="0">
                  <c:v>kg CO2e/yr (territory default)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GHG_Inventory!$A$53:$A$55</c:f>
              <c:strCache>
                <c:ptCount val="3"/>
                <c:pt idx="0">
                  <c:v>Scope 1 - direct (refrigerant screening)</c:v>
                </c:pt>
                <c:pt idx="1">
                  <c:v>Scope 2 - purchased electricity</c:v>
                </c:pt>
                <c:pt idx="2">
                  <c:v>Scope 3 - water, sewage, paper</c:v>
                </c:pt>
              </c:strCache>
            </c:strRef>
          </c:cat>
          <c:val>
            <c:numRef>
              <c:f>GHG_Inventory!$C$53:$C$55</c:f>
              <c:numCache>
                <c:formatCode>#,##0.0</c:formatCode>
                <c:ptCount val="3"/>
                <c:pt idx="0">
                  <c:v>16.4375</c:v>
                </c:pt>
                <c:pt idx="1">
                  <c:v>1810.47136680999</c:v>
                </c:pt>
                <c:pt idx="2">
                  <c:v>43.310128</c:v>
                </c:pt>
              </c:numCache>
            </c:numRef>
          </c:val>
        </c:ser>
        <c:gapWidth val="150"/>
        <c:overlap val="0"/>
        <c:axId val="880183"/>
        <c:axId val="30263765"/>
      </c:barChart>
      <c:catAx>
        <c:axId val="880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63765"/>
        <c:crosses val="autoZero"/>
        <c:auto val="1"/>
        <c:lblAlgn val="ctr"/>
        <c:lblOffset val="100"/>
        <c:noMultiLvlLbl val="0"/>
      </c:catAx>
      <c:valAx>
        <c:axId val="30263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Auditor's personal footprint (kg CO2e/yr)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Lifestyle_Scope3!B21</c:f>
              <c:strCache>
                <c:ptCount val="1"/>
                <c:pt idx="0">
                  <c:v>kg CO2e/yr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Lifestyle_Scope3!$A$22:$A$25</c:f>
              <c:strCache>
                <c:ptCount val="4"/>
                <c:pt idx="0">
                  <c:v>Home energy &amp; water (household inventory ÷ 2)</c:v>
                </c:pt>
                <c:pt idx="1">
                  <c:v>MTR travel</c:v>
                </c:pt>
                <c:pt idx="2">
                  <c:v>Flights</c:v>
                </c:pt>
                <c:pt idx="3">
                  <c:v>Diet</c:v>
                </c:pt>
              </c:strCache>
            </c:strRef>
          </c:cat>
          <c:val>
            <c:numRef>
              <c:f>Lifestyle_Scope3!$B$22:$B$25</c:f>
              <c:numCache>
                <c:formatCode>#,##0.0</c:formatCode>
                <c:ptCount val="4"/>
                <c:pt idx="0">
                  <c:v>469.559717368141</c:v>
                </c:pt>
                <c:pt idx="1">
                  <c:v>854.586</c:v>
                </c:pt>
                <c:pt idx="2">
                  <c:v>1691.93228112</c:v>
                </c:pt>
                <c:pt idx="3">
                  <c:v>2054.95</c:v>
                </c:pt>
              </c:numCache>
            </c:numRef>
          </c:val>
        </c:ser>
        <c:gapWidth val="150"/>
        <c:overlap val="0"/>
        <c:axId val="60304182"/>
        <c:axId val="57332896"/>
      </c:barChart>
      <c:catAx>
        <c:axId val="603041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32896"/>
        <c:crosses val="autoZero"/>
        <c:auto val="1"/>
        <c:lblAlgn val="ctr"/>
        <c:lblOffset val="100"/>
        <c:noMultiLvlLbl val="0"/>
      </c:catAx>
      <c:valAx>
        <c:axId val="57332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041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Household saving by EMO (kWh/yr)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EMO_Register!H5</c:f>
              <c:strCache>
                <c:ptCount val="1"/>
                <c:pt idx="0">
                  <c:v>Household share (kWh/yr)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EMO_Register!$A$6:$A$23</c:f>
              <c:strCache>
                <c:ptCount val="18"/>
                <c:pt idx="0">
                  <c:v>EMO-01</c:v>
                </c:pt>
                <c:pt idx="1">
                  <c:v>EMO-02</c:v>
                </c:pt>
                <c:pt idx="2">
                  <c:v>EMO-03</c:v>
                </c:pt>
                <c:pt idx="3">
                  <c:v>EMO-04</c:v>
                </c:pt>
                <c:pt idx="4">
                  <c:v>EMO-05</c:v>
                </c:pt>
                <c:pt idx="5">
                  <c:v>EMO-06</c:v>
                </c:pt>
                <c:pt idx="6">
                  <c:v>EMO-07</c:v>
                </c:pt>
                <c:pt idx="7">
                  <c:v>EMO-08</c:v>
                </c:pt>
                <c:pt idx="8">
                  <c:v>EMO-09</c:v>
                </c:pt>
                <c:pt idx="9">
                  <c:v>EMO-10</c:v>
                </c:pt>
                <c:pt idx="10">
                  <c:v>EMO-11</c:v>
                </c:pt>
                <c:pt idx="11">
                  <c:v>EMO-12</c:v>
                </c:pt>
                <c:pt idx="12">
                  <c:v>EMO-13</c:v>
                </c:pt>
                <c:pt idx="13">
                  <c:v>EMO-14</c:v>
                </c:pt>
                <c:pt idx="14">
                  <c:v>EMO-15</c:v>
                </c:pt>
                <c:pt idx="15">
                  <c:v>EMO-16</c:v>
                </c:pt>
                <c:pt idx="16">
                  <c:v>EMO-17</c:v>
                </c:pt>
                <c:pt idx="17">
                  <c:v>EMO-18</c:v>
                </c:pt>
              </c:strCache>
            </c:strRef>
          </c:cat>
          <c:val>
            <c:numRef>
              <c:f>EMO_Register!$H$6:$H$23</c:f>
              <c:numCache>
                <c:formatCode>#,##0.0</c:formatCode>
                <c:ptCount val="18"/>
                <c:pt idx="0">
                  <c:v>24.3243243243243</c:v>
                </c:pt>
                <c:pt idx="1">
                  <c:v>99.5732574679943</c:v>
                </c:pt>
                <c:pt idx="2">
                  <c:v>40.5405405405406</c:v>
                </c:pt>
                <c:pt idx="3">
                  <c:v>43.8</c:v>
                </c:pt>
                <c:pt idx="4">
                  <c:v>126.943621212121</c:v>
                </c:pt>
                <c:pt idx="5">
                  <c:v>77.1661616161616</c:v>
                </c:pt>
                <c:pt idx="6">
                  <c:v>28.47</c:v>
                </c:pt>
                <c:pt idx="7">
                  <c:v>62.4</c:v>
                </c:pt>
                <c:pt idx="8">
                  <c:v>87.6</c:v>
                </c:pt>
                <c:pt idx="9">
                  <c:v>32.7516666666667</c:v>
                </c:pt>
                <c:pt idx="10">
                  <c:v>8.5546875</c:v>
                </c:pt>
                <c:pt idx="11">
                  <c:v>141.048468013468</c:v>
                </c:pt>
                <c:pt idx="12">
                  <c:v>24.3243243243243</c:v>
                </c:pt>
                <c:pt idx="13">
                  <c:v>0</c:v>
                </c:pt>
                <c:pt idx="14">
                  <c:v>455.183556060606</c:v>
                </c:pt>
                <c:pt idx="15">
                  <c:v>306.832432432432</c:v>
                </c:pt>
                <c:pt idx="16">
                  <c:v>16.2162162162162</c:v>
                </c:pt>
                <c:pt idx="17">
                  <c:v>0</c:v>
                </c:pt>
              </c:numCache>
            </c:numRef>
          </c:val>
        </c:ser>
        <c:gapWidth val="150"/>
        <c:overlap val="0"/>
        <c:axId val="37321147"/>
        <c:axId val="93947765"/>
      </c:barChart>
      <c:catAx>
        <c:axId val="37321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7765"/>
        <c:crosses val="autoZero"/>
        <c:auto val="1"/>
        <c:lblAlgn val="ctr"/>
        <c:lblOffset val="100"/>
        <c:noMultiLvlLbl val="0"/>
      </c:catAx>
      <c:valAx>
        <c:axId val="93947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211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in household Scope 2 vs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Sensitivity!G5</c:f>
              <c:strCache>
                <c:ptCount val="1"/>
                <c:pt idx="0">
                  <c:v>Change vs base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Sensitivity!$B$6:$B$19</c:f>
              <c:strCache>
                <c:ptCount val="14"/>
                <c:pt idx="0">
                  <c:v>Base case</c:v>
                </c:pt>
                <c:pt idx="1">
                  <c:v>CLP 2024 emission factor</c:v>
                </c:pt>
                <c:pt idx="2">
                  <c:v>Territory-wide default factor</c:v>
                </c:pt>
                <c:pt idx="3">
                  <c:v>Octopus AC rate HK$1.20/kWh (CUHK level)</c:v>
                </c:pt>
                <c:pt idx="4">
                  <c:v>Octopus AC rate HK$2.31/kWh (HKU level)</c:v>
                </c:pt>
                <c:pt idx="5">
                  <c:v>Stated flat average HK$120/month</c:v>
                </c:pt>
                <c:pt idx="6">
                  <c:v>Bottom-up AC (label 362 kWh/1,200 h)</c:v>
                </c:pt>
                <c:pt idx="7">
                  <c:v>Shower flow 7 L/min (Grade-1 head)</c:v>
                </c:pt>
                <c:pt idx="8">
                  <c:v>Shower flow 12 L/min</c:v>
                </c:pt>
                <c:pt idx="9">
                  <c:v>Laptop average draw 30% of adapter</c:v>
                </c:pt>
                <c:pt idx="10">
                  <c:v>Laptop average draw 80% of adapter</c:v>
                </c:pt>
                <c:pt idx="11">
                  <c:v>Roommate uses half the auditor's personal loads</c:v>
                </c:pt>
                <c:pt idx="12">
                  <c:v>Kitchen allocated over 20 active users (not 32)</c:v>
                </c:pt>
                <c:pt idx="13">
                  <c:v>One month away (11 of 12 months occupied)</c:v>
                </c:pt>
              </c:strCache>
            </c:strRef>
          </c:cat>
          <c:val>
            <c:numRef>
              <c:f>Sensitivity!$G$6:$G$19</c:f>
              <c:numCache>
                <c:formatCode>0.0%</c:formatCode>
                <c:ptCount val="14"/>
                <c:pt idx="0">
                  <c:v>0</c:v>
                </c:pt>
                <c:pt idx="1">
                  <c:v>0.117647058823529</c:v>
                </c:pt>
                <c:pt idx="2">
                  <c:v>1.05882352941176</c:v>
                </c:pt>
                <c:pt idx="3">
                  <c:v>0.0538160581926828</c:v>
                </c:pt>
                <c:pt idx="4">
                  <c:v>-0.122682427452239</c:v>
                </c:pt>
                <c:pt idx="5">
                  <c:v>0.0824977897690589</c:v>
                </c:pt>
                <c:pt idx="6">
                  <c:v>0.0284860064867911</c:v>
                </c:pt>
                <c:pt idx="7">
                  <c:v>-0.0545349290905355</c:v>
                </c:pt>
                <c:pt idx="8">
                  <c:v>0.081802393635803</c:v>
                </c:pt>
                <c:pt idx="9">
                  <c:v>-0.0293536815738978</c:v>
                </c:pt>
                <c:pt idx="10">
                  <c:v>0.0440305223608466</c:v>
                </c:pt>
                <c:pt idx="11">
                  <c:v>-0.120314340537962</c:v>
                </c:pt>
                <c:pt idx="12">
                  <c:v>0.041440133423482</c:v>
                </c:pt>
                <c:pt idx="13">
                  <c:v>-0.0728148421644355</c:v>
                </c:pt>
              </c:numCache>
            </c:numRef>
          </c:val>
        </c:ser>
        <c:gapWidth val="150"/>
        <c:overlap val="0"/>
        <c:axId val="65206291"/>
        <c:axId val="99448674"/>
      </c:barChart>
      <c:catAx>
        <c:axId val="65206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48674"/>
        <c:crosses val="autoZero"/>
        <c:auto val="1"/>
        <c:lblAlgn val="ctr"/>
        <c:lblOffset val="100"/>
        <c:noMultiLvlLbl val="0"/>
      </c:catAx>
      <c:valAx>
        <c:axId val="99448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062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48240</xdr:rowOff>
    </xdr:from>
    <xdr:to>
      <xdr:col>7</xdr:col>
      <xdr:colOff>621720</xdr:colOff>
      <xdr:row>33</xdr:row>
      <xdr:rowOff>148680</xdr:rowOff>
    </xdr:to>
    <xdr:graphicFrame>
      <xdr:nvGraphicFramePr>
        <xdr:cNvPr id="0" name="Chart 1"/>
        <xdr:cNvGraphicFramePr/>
      </xdr:nvGraphicFramePr>
      <xdr:xfrm>
        <a:off x="0" y="4191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13</xdr:col>
      <xdr:colOff>181440</xdr:colOff>
      <xdr:row>41</xdr:row>
      <xdr:rowOff>140760</xdr:rowOff>
    </xdr:to>
    <xdr:graphicFrame>
      <xdr:nvGraphicFramePr>
        <xdr:cNvPr id="1" name="Chart 1"/>
        <xdr:cNvGraphicFramePr/>
      </xdr:nvGraphicFramePr>
      <xdr:xfrm>
        <a:off x="0" y="4924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14</xdr:col>
      <xdr:colOff>38880</xdr:colOff>
      <xdr:row>16</xdr:row>
      <xdr:rowOff>182880</xdr:rowOff>
    </xdr:to>
    <xdr:graphicFrame>
      <xdr:nvGraphicFramePr>
        <xdr:cNvPr id="2" name="Chart 1"/>
        <xdr:cNvGraphicFramePr/>
      </xdr:nvGraphicFramePr>
      <xdr:xfrm>
        <a:off x="984492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351360</xdr:rowOff>
    </xdr:from>
    <xdr:to>
      <xdr:col>15</xdr:col>
      <xdr:colOff>147600</xdr:colOff>
      <xdr:row>34</xdr:row>
      <xdr:rowOff>127800</xdr:rowOff>
    </xdr:to>
    <xdr:graphicFrame>
      <xdr:nvGraphicFramePr>
        <xdr:cNvPr id="3" name="Chart 2"/>
        <xdr:cNvGraphicFramePr/>
      </xdr:nvGraphicFramePr>
      <xdr:xfrm>
        <a:off x="9844920" y="4191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16</xdr:row>
      <xdr:rowOff>6480</xdr:rowOff>
    </xdr:to>
    <xdr:graphicFrame>
      <xdr:nvGraphicFramePr>
        <xdr:cNvPr id="4" name="Chart 1"/>
        <xdr:cNvGraphicFramePr/>
      </xdr:nvGraphicFramePr>
      <xdr:xfrm>
        <a:off x="109728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16</xdr:col>
      <xdr:colOff>507600</xdr:colOff>
      <xdr:row>14</xdr:row>
      <xdr:rowOff>13320</xdr:rowOff>
    </xdr:to>
    <xdr:graphicFrame>
      <xdr:nvGraphicFramePr>
        <xdr:cNvPr id="5" name="Chart 1"/>
        <xdr:cNvGraphicFramePr/>
      </xdr:nvGraphicFramePr>
      <xdr:xfrm>
        <a:off x="10902240" y="57168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3</xdr:row>
      <xdr:rowOff>160920</xdr:rowOff>
    </xdr:from>
    <xdr:to>
      <xdr:col>24</xdr:col>
      <xdr:colOff>507600</xdr:colOff>
      <xdr:row>15</xdr:row>
      <xdr:rowOff>280080</xdr:rowOff>
    </xdr:to>
    <xdr:graphicFrame>
      <xdr:nvGraphicFramePr>
        <xdr:cNvPr id="6" name="Chart 1"/>
        <xdr:cNvGraphicFramePr/>
      </xdr:nvGraphicFramePr>
      <xdr:xfrm>
        <a:off x="15695280" y="76212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17</xdr:col>
      <xdr:colOff>255960</xdr:colOff>
      <xdr:row>22</xdr:row>
      <xdr:rowOff>119880</xdr:rowOff>
    </xdr:to>
    <xdr:graphicFrame>
      <xdr:nvGraphicFramePr>
        <xdr:cNvPr id="7" name="Chart 1"/>
        <xdr:cNvGraphicFramePr/>
      </xdr:nvGraphicFramePr>
      <xdr:xfrm>
        <a:off x="8646840" y="76212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sustainability.clpgroup.com/en/2025/esg-data-hub" TargetMode="External"/><Relationship Id="rId2" Type="http://schemas.openxmlformats.org/officeDocument/2006/relationships/hyperlink" Target="https://www.clp.com.hk/en/clp-power-tariff-adjustment-2026" TargetMode="External"/><Relationship Id="rId3" Type="http://schemas.openxmlformats.org/officeDocument/2006/relationships/hyperlink" Target="https://www.news.gov.hk/eng/2025/11/20251118/20251118_171441_586.html" TargetMode="External"/><Relationship Id="rId4" Type="http://schemas.openxmlformats.org/officeDocument/2006/relationships/hyperlink" Target="https://www.hko.gov.hk/en/cis/normal/1991_2020/15day_normal.htm" TargetMode="External"/><Relationship Id="rId5" Type="http://schemas.openxmlformats.org/officeDocument/2006/relationships/hyperlink" Target="https://www.emsd.gov.hk/energylabel/en/households/rac/eels_ac_eot_popup.htm" TargetMode="External"/><Relationship Id="rId6" Type="http://schemas.openxmlformats.org/officeDocument/2006/relationships/hyperlink" Target="https://www.news.gov.hk/eng/2025/04/20250417/20250417_120238_003.html" TargetMode="External"/><Relationship Id="rId7" Type="http://schemas.openxmlformats.org/officeDocument/2006/relationships/hyperlink" Target="https://hkgbc.org.hk/eng/resources/publications/HKGBC-Publication/Reports/green-building-in-action/references/2025.jsp" TargetMode="External"/><Relationship Id="rId8" Type="http://schemas.openxmlformats.org/officeDocument/2006/relationships/hyperlink" Target="https://water.hku.hk/wp-content/uploads/2024/05/221200-ECF_Final-report_website-updates.pdf" TargetMode="External"/><Relationship Id="rId9" Type="http://schemas.openxmlformats.org/officeDocument/2006/relationships/hyperlink" Target="https://water.hku.hk/water-conservation/" TargetMode="External"/><Relationship Id="rId10" Type="http://schemas.openxmlformats.org/officeDocument/2006/relationships/hyperlink" Target="https://www.info.gov.hk/gia/general/201207/04/P201207040635.htm" TargetMode="External"/><Relationship Id="rId11" Type="http://schemas.openxmlformats.org/officeDocument/2006/relationships/hyperlink" Target="https://www.cityu.edu.hk/en/media/press-release/2024/12/11/cityuhk-holds-opening-and-naming-ceremony-lee-shau-kee-student-residence-village" TargetMode="External"/><Relationship Id="rId12" Type="http://schemas.openxmlformats.org/officeDocument/2006/relationships/hyperlink" Target="https://hkele.com.hk/en/DHBE27SLI" TargetMode="External"/><Relationship Id="rId13" Type="http://schemas.openxmlformats.org/officeDocument/2006/relationships/hyperlink" Target="https://www.mtr.com.hk/sustainability/assets/pdf/en/2022/MTR_CDP_Response.pdf" TargetMode="External"/><Relationship Id="rId14" Type="http://schemas.openxmlformats.org/officeDocument/2006/relationships/hyperlink" Target="https://www.gov.uk/government/publications/greenhouse-gas-reporting-conversion-factors-2025" TargetMode="External"/><Relationship Id="rId15" Type="http://schemas.openxmlformats.org/officeDocument/2006/relationships/hyperlink" Target="https://www.oxfordmartin.ox.ac.uk/publications/dietary-greenhouse-gas-emissions-of-meat-eaters-fish-eaters-vegetarians-and-vegans-in-the-uk" TargetMode="External"/><Relationship Id="rId16" Type="http://schemas.openxmlformats.org/officeDocument/2006/relationships/hyperlink" Target="https://www.energystar.gov/sites/default/files/ES%20WC%20V2%200%20Spec.pdf" TargetMode="External"/><Relationship Id="rId17" Type="http://schemas.openxmlformats.org/officeDocument/2006/relationships/hyperlink" Target="https://www.ashrae.org/technical-resources/ashrae-journal/featured-articles/october-2022-analysis-of-refrigerant-use-for-ac-equipment-maintenance" TargetMode="External"/><Relationship Id="rId18" Type="http://schemas.openxmlformats.org/officeDocument/2006/relationships/hyperlink" Target="https://www.clpgroup.com/content/dam/clp-group/channels/media/document/2022/20220426_en.pdf.coredownload.pdf" TargetMode="External"/><Relationship Id="rId19" Type="http://schemas.openxmlformats.org/officeDocument/2006/relationships/hyperlink" Target="https://www.devb.gov.hk/en/sdev/press/index_id_11447.html" TargetMode="External"/><Relationship Id="rId20" Type="http://schemas.openxmlformats.org/officeDocument/2006/relationships/hyperlink" Target="https://emsd.gov.hk/beeo/en/pee/BEC2021vsBEC2024.pdf" TargetMode="External"/><Relationship Id="rId21" Type="http://schemas.openxmlformats.org/officeDocument/2006/relationships/hyperlink" Target="https://wys.cuhk.edu.hk/college-life-support/information-for-residents/" TargetMode="External"/><Relationship Id="rId22" Type="http://schemas.openxmlformats.org/officeDocument/2006/relationships/hyperlink" Target="https://www.osti.gov/biblio/805122" TargetMode="External"/><Relationship Id="rId23" Type="http://schemas.openxmlformats.org/officeDocument/2006/relationships/hyperlink" Target="https://news.rthk.hk/rthk/en/component/k2/1854660-20260514.htm" TargetMode="External"/><Relationship Id="rId24" Type="http://schemas.openxmlformats.org/officeDocument/2006/relationships/hyperlink" Target="https://www.feverelectrics.com/en/products/midea-mw12crf8e-1-5hp-r32-inverter-window-type-air-conditioner" TargetMode="External"/><Relationship Id="rId25" Type="http://schemas.openxmlformats.org/officeDocument/2006/relationships/hyperlink" Target="https://www.info.gov.hk/gia/general/202406/26/P2024062600623.htm" TargetMode="External"/><Relationship Id="rId26" Type="http://schemas.openxmlformats.org/officeDocument/2006/relationships/hyperlink" Target="https://www.info.gov.hk/gia/general/202110/08/P2021100800588.htm" TargetMode="External"/><Relationship Id="rId27" Type="http://schemas.openxmlformats.org/officeDocument/2006/relationships/hyperlink" Target="https://www.energy.gov/energysaver/maintaining-your-air-condition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2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4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false" outlineLevel="0" collapsed="false">
      <c r="A6" s="3" t="s">
        <v>6</v>
      </c>
      <c r="B6" s="5" t="s">
        <v>7</v>
      </c>
      <c r="C6" s="5"/>
      <c r="D6" s="5"/>
      <c r="E6" s="5"/>
      <c r="F6" s="5"/>
    </row>
    <row r="8" customFormat="false" ht="15" hidden="false" customHeight="false" outlineLevel="0" collapsed="false">
      <c r="A8" s="3" t="s">
        <v>8</v>
      </c>
      <c r="B8" s="6" t="s">
        <v>9</v>
      </c>
      <c r="C8" s="7" t="s">
        <v>10</v>
      </c>
      <c r="D8" s="8" t="s">
        <v>11</v>
      </c>
      <c r="E8" s="9" t="s">
        <v>12</v>
      </c>
    </row>
    <row r="10" customFormat="false" ht="15" hidden="false" customHeight="false" outlineLevel="0" collapsed="false">
      <c r="A10" s="10" t="s">
        <v>13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2" t="s">
        <v>14</v>
      </c>
      <c r="B11" s="12" t="s">
        <v>15</v>
      </c>
      <c r="C11" s="12" t="s">
        <v>16</v>
      </c>
      <c r="D11" s="12" t="s">
        <v>17</v>
      </c>
    </row>
    <row r="12" customFormat="false" ht="15" hidden="false" customHeight="false" outlineLevel="0" collapsed="false">
      <c r="A12" s="8" t="s">
        <v>18</v>
      </c>
      <c r="B12" s="13" t="n">
        <f aca="false">AC_KWH</f>
        <v>810.810810810811</v>
      </c>
      <c r="C12" s="8" t="s">
        <v>19</v>
      </c>
      <c r="D12" s="8" t="s">
        <v>20</v>
      </c>
    </row>
    <row r="13" customFormat="false" ht="15" hidden="false" customHeight="false" outlineLevel="0" collapsed="false">
      <c r="A13" s="8" t="s">
        <v>21</v>
      </c>
      <c r="B13" s="13" t="n">
        <f aca="false">AC_BU</f>
        <v>884.486666666667</v>
      </c>
      <c r="C13" s="8" t="s">
        <v>19</v>
      </c>
      <c r="D13" s="8" t="s">
        <v>20</v>
      </c>
    </row>
    <row r="14" customFormat="false" ht="15" hidden="false" customHeight="false" outlineLevel="0" collapsed="false">
      <c r="A14" s="8" t="s">
        <v>22</v>
      </c>
      <c r="B14" s="13" t="n">
        <f aca="false">HH_KWH</f>
        <v>2586.38766687142</v>
      </c>
      <c r="C14" s="8" t="s">
        <v>19</v>
      </c>
      <c r="D14" s="8" t="s">
        <v>23</v>
      </c>
    </row>
    <row r="15" customFormat="false" ht="15" hidden="false" customHeight="false" outlineLevel="0" collapsed="false">
      <c r="A15" s="8" t="s">
        <v>24</v>
      </c>
      <c r="B15" s="13" t="n">
        <f aca="false">ROOM_KWH</f>
        <v>1219.61081081081</v>
      </c>
      <c r="C15" s="8" t="s">
        <v>19</v>
      </c>
      <c r="D15" s="8" t="s">
        <v>23</v>
      </c>
    </row>
    <row r="16" customFormat="false" ht="15" hidden="false" customHeight="false" outlineLevel="0" collapsed="false">
      <c r="A16" s="8" t="s">
        <v>25</v>
      </c>
      <c r="B16" s="13" t="n">
        <f aca="false">HH_KWH/OCC</f>
        <v>1293.19383343571</v>
      </c>
      <c r="C16" s="8" t="s">
        <v>26</v>
      </c>
      <c r="D16" s="8" t="s">
        <v>23</v>
      </c>
    </row>
    <row r="17" customFormat="false" ht="15" hidden="false" customHeight="false" outlineLevel="0" collapsed="false">
      <c r="A17" s="8" t="s">
        <v>27</v>
      </c>
      <c r="B17" s="14" t="n">
        <f aca="false">ROOM_EUI_MJ</f>
        <v>292.706594594595</v>
      </c>
      <c r="C17" s="8" t="s">
        <v>28</v>
      </c>
      <c r="D17" s="8" t="s">
        <v>29</v>
      </c>
    </row>
    <row r="18" customFormat="false" ht="15" hidden="false" customHeight="false" outlineLevel="0" collapsed="false">
      <c r="A18" s="8" t="s">
        <v>30</v>
      </c>
      <c r="B18" s="15" t="n">
        <f aca="false">S1_KG</f>
        <v>16.4375</v>
      </c>
      <c r="C18" s="8" t="s">
        <v>31</v>
      </c>
      <c r="D18" s="8" t="s">
        <v>32</v>
      </c>
    </row>
    <row r="19" customFormat="false" ht="15" hidden="false" customHeight="false" outlineLevel="0" collapsed="false">
      <c r="A19" s="8" t="s">
        <v>33</v>
      </c>
      <c r="B19" s="15" t="n">
        <f aca="false">S2_CLP</f>
        <v>879.371806736282</v>
      </c>
      <c r="C19" s="8" t="s">
        <v>31</v>
      </c>
      <c r="D19" s="8" t="s">
        <v>32</v>
      </c>
    </row>
    <row r="20" customFormat="false" ht="15" hidden="false" customHeight="false" outlineLevel="0" collapsed="false">
      <c r="A20" s="8" t="s">
        <v>34</v>
      </c>
      <c r="B20" s="15" t="n">
        <f aca="false">S2_DEF</f>
        <v>1810.47136680999</v>
      </c>
      <c r="C20" s="8" t="s">
        <v>31</v>
      </c>
      <c r="D20" s="8" t="s">
        <v>32</v>
      </c>
    </row>
    <row r="21" customFormat="false" ht="15" hidden="false" customHeight="false" outlineLevel="0" collapsed="false">
      <c r="A21" s="8" t="s">
        <v>35</v>
      </c>
      <c r="B21" s="15" t="n">
        <f aca="false">S3_KG</f>
        <v>43.310128</v>
      </c>
      <c r="C21" s="8" t="s">
        <v>31</v>
      </c>
      <c r="D21" s="8" t="s">
        <v>32</v>
      </c>
    </row>
    <row r="22" customFormat="false" ht="15" hidden="false" customHeight="false" outlineLevel="0" collapsed="false">
      <c r="A22" s="8" t="s">
        <v>36</v>
      </c>
      <c r="B22" s="15" t="n">
        <f aca="false">TOT_CLP</f>
        <v>939.119434736282</v>
      </c>
      <c r="C22" s="8" t="s">
        <v>31</v>
      </c>
      <c r="D22" s="8" t="s">
        <v>32</v>
      </c>
    </row>
    <row r="23" customFormat="false" ht="15" hidden="false" customHeight="false" outlineLevel="0" collapsed="false">
      <c r="A23" s="8" t="s">
        <v>37</v>
      </c>
      <c r="B23" s="15" t="n">
        <f aca="false">TOT_DEF</f>
        <v>1870.21899480999</v>
      </c>
      <c r="C23" s="8" t="s">
        <v>31</v>
      </c>
      <c r="D23" s="8" t="s">
        <v>32</v>
      </c>
    </row>
    <row r="24" customFormat="false" ht="15" hidden="false" customHeight="false" outlineLevel="0" collapsed="false">
      <c r="A24" s="8" t="s">
        <v>38</v>
      </c>
      <c r="B24" s="15" t="n">
        <f aca="false">TOT_CLP/OCC</f>
        <v>469.559717368141</v>
      </c>
      <c r="C24" s="8" t="s">
        <v>39</v>
      </c>
      <c r="D24" s="8" t="s">
        <v>32</v>
      </c>
    </row>
    <row r="25" customFormat="false" ht="15" hidden="false" customHeight="false" outlineLevel="0" collapsed="false">
      <c r="A25" s="8" t="s">
        <v>40</v>
      </c>
      <c r="B25" s="13" t="n">
        <f aca="false">LIFE_KG</f>
        <v>4601.46828112</v>
      </c>
      <c r="C25" s="8" t="s">
        <v>31</v>
      </c>
      <c r="D25" s="8" t="s">
        <v>41</v>
      </c>
    </row>
    <row r="26" customFormat="false" ht="15" hidden="false" customHeight="false" outlineLevel="0" collapsed="false">
      <c r="A26" s="8" t="s">
        <v>42</v>
      </c>
      <c r="B26" s="13" t="n">
        <f aca="false">PERSONAL_KG</f>
        <v>5071.02799848814</v>
      </c>
      <c r="C26" s="8" t="s">
        <v>31</v>
      </c>
      <c r="D26" s="8" t="s">
        <v>41</v>
      </c>
    </row>
    <row r="27" customFormat="false" ht="15" hidden="false" customHeight="false" outlineLevel="0" collapsed="false">
      <c r="A27" s="8" t="s">
        <v>43</v>
      </c>
      <c r="B27" s="13" t="n">
        <f aca="false">EMO_CAT1_KWH</f>
        <v>503.217905161142</v>
      </c>
      <c r="C27" s="8" t="s">
        <v>19</v>
      </c>
      <c r="D27" s="8" t="s">
        <v>44</v>
      </c>
    </row>
    <row r="28" customFormat="false" ht="15" hidden="false" customHeight="false" outlineLevel="0" collapsed="false">
      <c r="A28" s="8" t="s">
        <v>45</v>
      </c>
      <c r="B28" s="16" t="n">
        <f aca="false">EMO_CAT1_KWH/HH_KWH</f>
        <v>0.194563990389674</v>
      </c>
      <c r="C28" s="8" t="s">
        <v>46</v>
      </c>
      <c r="D28" s="8" t="s">
        <v>44</v>
      </c>
    </row>
    <row r="30" customFormat="false" ht="15" hidden="false" customHeight="false" outlineLevel="0" collapsed="false">
      <c r="A30" s="10" t="s">
        <v>47</v>
      </c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7" t="s">
        <v>48</v>
      </c>
      <c r="B31" s="8" t="s">
        <v>49</v>
      </c>
      <c r="C31" s="8"/>
      <c r="D31" s="8"/>
      <c r="E31" s="8"/>
      <c r="F31" s="8"/>
    </row>
    <row r="32" customFormat="false" ht="15" hidden="false" customHeight="false" outlineLevel="0" collapsed="false">
      <c r="A32" s="17" t="s">
        <v>20</v>
      </c>
      <c r="B32" s="8" t="s">
        <v>50</v>
      </c>
      <c r="C32" s="8"/>
      <c r="D32" s="8"/>
      <c r="E32" s="8"/>
      <c r="F32" s="8"/>
    </row>
    <row r="33" customFormat="false" ht="15" hidden="false" customHeight="false" outlineLevel="0" collapsed="false">
      <c r="A33" s="17" t="s">
        <v>51</v>
      </c>
      <c r="B33" s="8" t="s">
        <v>52</v>
      </c>
      <c r="C33" s="8"/>
      <c r="D33" s="8"/>
      <c r="E33" s="8"/>
      <c r="F33" s="8"/>
    </row>
    <row r="34" customFormat="false" ht="15" hidden="false" customHeight="false" outlineLevel="0" collapsed="false">
      <c r="A34" s="17" t="s">
        <v>23</v>
      </c>
      <c r="B34" s="8" t="s">
        <v>53</v>
      </c>
      <c r="C34" s="8"/>
      <c r="D34" s="8"/>
      <c r="E34" s="8"/>
      <c r="F34" s="8"/>
    </row>
    <row r="35" customFormat="false" ht="15" hidden="false" customHeight="false" outlineLevel="0" collapsed="false">
      <c r="A35" s="17" t="s">
        <v>54</v>
      </c>
      <c r="B35" s="8" t="s">
        <v>55</v>
      </c>
      <c r="C35" s="8"/>
      <c r="D35" s="8"/>
      <c r="E35" s="8"/>
      <c r="F35" s="8"/>
    </row>
    <row r="36" customFormat="false" ht="15" hidden="false" customHeight="false" outlineLevel="0" collapsed="false">
      <c r="A36" s="17" t="s">
        <v>56</v>
      </c>
      <c r="B36" s="8" t="s">
        <v>57</v>
      </c>
      <c r="C36" s="8"/>
      <c r="D36" s="8"/>
      <c r="E36" s="8"/>
      <c r="F36" s="8"/>
    </row>
    <row r="37" customFormat="false" ht="15" hidden="false" customHeight="false" outlineLevel="0" collapsed="false">
      <c r="A37" s="17" t="s">
        <v>32</v>
      </c>
      <c r="B37" s="8" t="s">
        <v>58</v>
      </c>
      <c r="C37" s="8"/>
      <c r="D37" s="8"/>
      <c r="E37" s="8"/>
      <c r="F37" s="8"/>
    </row>
    <row r="38" customFormat="false" ht="15" hidden="false" customHeight="false" outlineLevel="0" collapsed="false">
      <c r="A38" s="17" t="s">
        <v>41</v>
      </c>
      <c r="B38" s="8" t="s">
        <v>59</v>
      </c>
      <c r="C38" s="8"/>
      <c r="D38" s="8"/>
      <c r="E38" s="8"/>
      <c r="F38" s="8"/>
    </row>
    <row r="39" customFormat="false" ht="15" hidden="false" customHeight="false" outlineLevel="0" collapsed="false">
      <c r="A39" s="17" t="s">
        <v>44</v>
      </c>
      <c r="B39" s="8" t="s">
        <v>60</v>
      </c>
      <c r="C39" s="8"/>
      <c r="D39" s="8"/>
      <c r="E39" s="8"/>
      <c r="F39" s="8"/>
    </row>
    <row r="40" customFormat="false" ht="15" hidden="false" customHeight="false" outlineLevel="0" collapsed="false">
      <c r="A40" s="17" t="s">
        <v>61</v>
      </c>
      <c r="B40" s="8" t="s">
        <v>62</v>
      </c>
      <c r="C40" s="8"/>
      <c r="D40" s="8"/>
      <c r="E40" s="8"/>
      <c r="F40" s="8"/>
    </row>
    <row r="41" customFormat="false" ht="15" hidden="false" customHeight="false" outlineLevel="0" collapsed="false">
      <c r="A41" s="17" t="s">
        <v>63</v>
      </c>
      <c r="B41" s="8" t="s">
        <v>64</v>
      </c>
      <c r="C41" s="8"/>
      <c r="D41" s="8"/>
      <c r="E41" s="8"/>
      <c r="F41" s="8"/>
    </row>
    <row r="42" customFormat="false" ht="15" hidden="false" customHeight="false" outlineLevel="0" collapsed="false">
      <c r="A42" s="17" t="s">
        <v>65</v>
      </c>
      <c r="B42" s="8" t="s">
        <v>66</v>
      </c>
      <c r="C42" s="8"/>
      <c r="D42" s="8"/>
      <c r="E42" s="8"/>
      <c r="F42" s="8"/>
    </row>
    <row r="43" customFormat="false" ht="15" hidden="false" customHeight="false" outlineLevel="0" collapsed="false">
      <c r="A43" s="17" t="s">
        <v>67</v>
      </c>
      <c r="B43" s="8" t="s">
        <v>68</v>
      </c>
      <c r="C43" s="8"/>
      <c r="D43" s="8"/>
      <c r="E43" s="8"/>
      <c r="F43" s="8"/>
    </row>
    <row r="44" customFormat="false" ht="15" hidden="false" customHeight="false" outlineLevel="0" collapsed="false">
      <c r="A44" s="17" t="s">
        <v>69</v>
      </c>
      <c r="B44" s="8" t="s">
        <v>70</v>
      </c>
      <c r="C44" s="8"/>
      <c r="D44" s="8"/>
      <c r="E44" s="8"/>
      <c r="F44" s="8"/>
    </row>
  </sheetData>
  <mergeCells count="17">
    <mergeCell ref="B4:F4"/>
    <mergeCell ref="B5:F5"/>
    <mergeCell ref="B6:F6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3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2" min="11" style="0" width="13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30" hidden="false" customHeight="true" outlineLevel="0" collapsed="false">
      <c r="A4" s="12" t="s">
        <v>73</v>
      </c>
      <c r="B4" s="12" t="s">
        <v>74</v>
      </c>
      <c r="C4" s="12" t="s">
        <v>15</v>
      </c>
      <c r="D4" s="12" t="s">
        <v>16</v>
      </c>
      <c r="E4" s="12" t="s">
        <v>75</v>
      </c>
      <c r="F4" s="12" t="s">
        <v>76</v>
      </c>
      <c r="G4" s="12" t="s">
        <v>77</v>
      </c>
      <c r="I4" s="12" t="s">
        <v>78</v>
      </c>
      <c r="J4" s="12" t="s">
        <v>79</v>
      </c>
      <c r="K4" s="12" t="s">
        <v>80</v>
      </c>
      <c r="L4" s="12" t="s">
        <v>81</v>
      </c>
    </row>
    <row r="5" customFormat="false" ht="15" hidden="false" customHeight="false" outlineLevel="0" collapsed="false">
      <c r="A5" s="10" t="s">
        <v>82</v>
      </c>
      <c r="B5" s="11"/>
      <c r="C5" s="11"/>
      <c r="D5" s="11"/>
      <c r="E5" s="11"/>
      <c r="F5" s="11"/>
      <c r="G5" s="11"/>
      <c r="I5" s="8" t="s">
        <v>83</v>
      </c>
      <c r="J5" s="18" t="n">
        <v>31</v>
      </c>
      <c r="K5" s="18" t="n">
        <v>0</v>
      </c>
      <c r="L5" s="19" t="n">
        <v>16.5</v>
      </c>
    </row>
    <row r="6" customFormat="false" ht="15" hidden="false" customHeight="false" outlineLevel="0" collapsed="false">
      <c r="A6" s="20" t="s">
        <v>84</v>
      </c>
      <c r="B6" s="21" t="s">
        <v>85</v>
      </c>
      <c r="C6" s="18" t="n">
        <v>2</v>
      </c>
      <c r="D6" s="8" t="s">
        <v>86</v>
      </c>
      <c r="E6" s="8" t="s">
        <v>87</v>
      </c>
      <c r="F6" s="8" t="s">
        <v>88</v>
      </c>
      <c r="G6" s="21" t="s">
        <v>89</v>
      </c>
      <c r="I6" s="8" t="s">
        <v>90</v>
      </c>
      <c r="J6" s="18" t="n">
        <v>28</v>
      </c>
      <c r="K6" s="18" t="n">
        <v>0</v>
      </c>
      <c r="L6" s="19" t="n">
        <v>17.1</v>
      </c>
    </row>
    <row r="7" customFormat="false" ht="15" hidden="false" customHeight="false" outlineLevel="0" collapsed="false">
      <c r="A7" s="20" t="s">
        <v>91</v>
      </c>
      <c r="B7" s="21" t="s">
        <v>92</v>
      </c>
      <c r="C7" s="18" t="n">
        <v>4</v>
      </c>
      <c r="D7" s="8" t="s">
        <v>86</v>
      </c>
      <c r="E7" s="8" t="s">
        <v>87</v>
      </c>
      <c r="F7" s="8" t="s">
        <v>88</v>
      </c>
      <c r="G7" s="21" t="s">
        <v>93</v>
      </c>
      <c r="I7" s="8" t="s">
        <v>94</v>
      </c>
      <c r="J7" s="18" t="n">
        <v>31</v>
      </c>
      <c r="K7" s="18" t="n">
        <v>0</v>
      </c>
      <c r="L7" s="19" t="n">
        <v>19.4</v>
      </c>
    </row>
    <row r="8" customFormat="false" ht="15" hidden="false" customHeight="false" outlineLevel="0" collapsed="false">
      <c r="A8" s="20" t="s">
        <v>95</v>
      </c>
      <c r="B8" s="21" t="s">
        <v>96</v>
      </c>
      <c r="C8" s="18" t="n">
        <v>32</v>
      </c>
      <c r="D8" s="8" t="s">
        <v>86</v>
      </c>
      <c r="E8" s="8" t="s">
        <v>87</v>
      </c>
      <c r="F8" s="8" t="s">
        <v>88</v>
      </c>
      <c r="G8" s="21" t="s">
        <v>97</v>
      </c>
      <c r="I8" s="8" t="s">
        <v>98</v>
      </c>
      <c r="J8" s="18" t="n">
        <v>30</v>
      </c>
      <c r="K8" s="18" t="n">
        <v>0</v>
      </c>
      <c r="L8" s="19" t="n">
        <v>23</v>
      </c>
    </row>
    <row r="9" customFormat="false" ht="15" hidden="false" customHeight="false" outlineLevel="0" collapsed="false">
      <c r="A9" s="20" t="s">
        <v>99</v>
      </c>
      <c r="B9" s="21" t="s">
        <v>100</v>
      </c>
      <c r="C9" s="18" t="n">
        <v>13</v>
      </c>
      <c r="D9" s="8" t="s">
        <v>101</v>
      </c>
      <c r="E9" s="8" t="s">
        <v>87</v>
      </c>
      <c r="F9" s="8" t="s">
        <v>88</v>
      </c>
      <c r="G9" s="21" t="s">
        <v>102</v>
      </c>
      <c r="I9" s="8" t="s">
        <v>103</v>
      </c>
      <c r="J9" s="18" t="n">
        <v>31</v>
      </c>
      <c r="K9" s="18" t="n">
        <v>1</v>
      </c>
      <c r="L9" s="19" t="n">
        <v>26.3</v>
      </c>
    </row>
    <row r="10" customFormat="false" ht="15" hidden="false" customHeight="false" outlineLevel="0" collapsed="false">
      <c r="A10" s="20" t="s">
        <v>104</v>
      </c>
      <c r="B10" s="21" t="s">
        <v>105</v>
      </c>
      <c r="C10" s="18" t="n">
        <v>20</v>
      </c>
      <c r="D10" s="8" t="s">
        <v>101</v>
      </c>
      <c r="E10" s="8" t="s">
        <v>87</v>
      </c>
      <c r="F10" s="8" t="s">
        <v>88</v>
      </c>
      <c r="G10" s="21" t="s">
        <v>106</v>
      </c>
      <c r="I10" s="8" t="s">
        <v>107</v>
      </c>
      <c r="J10" s="18" t="n">
        <v>30</v>
      </c>
      <c r="K10" s="18" t="n">
        <v>1</v>
      </c>
      <c r="L10" s="19" t="n">
        <v>28.3</v>
      </c>
    </row>
    <row r="11" customFormat="false" ht="15" hidden="false" customHeight="false" outlineLevel="0" collapsed="false">
      <c r="A11" s="20" t="s">
        <v>108</v>
      </c>
      <c r="B11" s="21" t="s">
        <v>109</v>
      </c>
      <c r="C11" s="18" t="n">
        <v>18</v>
      </c>
      <c r="D11" s="8" t="s">
        <v>101</v>
      </c>
      <c r="E11" s="8" t="s">
        <v>87</v>
      </c>
      <c r="F11" s="8" t="s">
        <v>88</v>
      </c>
      <c r="G11" s="21" t="s">
        <v>106</v>
      </c>
      <c r="I11" s="8" t="s">
        <v>110</v>
      </c>
      <c r="J11" s="18" t="n">
        <v>31</v>
      </c>
      <c r="K11" s="18" t="n">
        <v>1</v>
      </c>
      <c r="L11" s="19" t="n">
        <v>28.9</v>
      </c>
    </row>
    <row r="12" customFormat="false" ht="15" hidden="false" customHeight="false" outlineLevel="0" collapsed="false">
      <c r="A12" s="20" t="s">
        <v>111</v>
      </c>
      <c r="B12" s="21" t="s">
        <v>112</v>
      </c>
      <c r="C12" s="18" t="n">
        <v>15</v>
      </c>
      <c r="D12" s="8" t="s">
        <v>113</v>
      </c>
      <c r="E12" s="8" t="s">
        <v>87</v>
      </c>
      <c r="F12" s="8" t="s">
        <v>88</v>
      </c>
      <c r="G12" s="21" t="s">
        <v>114</v>
      </c>
      <c r="I12" s="8" t="s">
        <v>115</v>
      </c>
      <c r="J12" s="18" t="n">
        <v>31</v>
      </c>
      <c r="K12" s="18" t="n">
        <v>1</v>
      </c>
      <c r="L12" s="19" t="n">
        <v>28.7</v>
      </c>
    </row>
    <row r="13" customFormat="false" ht="15" hidden="false" customHeight="false" outlineLevel="0" collapsed="false">
      <c r="A13" s="20" t="s">
        <v>116</v>
      </c>
      <c r="B13" s="21" t="s">
        <v>117</v>
      </c>
      <c r="C13" s="18" t="n">
        <v>184</v>
      </c>
      <c r="D13" s="8" t="s">
        <v>118</v>
      </c>
      <c r="E13" s="8" t="s">
        <v>119</v>
      </c>
      <c r="F13" s="8"/>
      <c r="G13" s="21" t="s">
        <v>120</v>
      </c>
      <c r="I13" s="8" t="s">
        <v>121</v>
      </c>
      <c r="J13" s="18" t="n">
        <v>30</v>
      </c>
      <c r="K13" s="18" t="n">
        <v>1</v>
      </c>
      <c r="L13" s="19" t="n">
        <v>27.9</v>
      </c>
    </row>
    <row r="14" customFormat="false" ht="15" hidden="false" customHeight="false" outlineLevel="0" collapsed="false">
      <c r="A14" s="20" t="s">
        <v>122</v>
      </c>
      <c r="B14" s="21" t="s">
        <v>123</v>
      </c>
      <c r="C14" s="18" t="n">
        <v>181</v>
      </c>
      <c r="D14" s="8" t="s">
        <v>118</v>
      </c>
      <c r="E14" s="8" t="s">
        <v>119</v>
      </c>
      <c r="F14" s="8"/>
      <c r="G14" s="21" t="s">
        <v>124</v>
      </c>
      <c r="I14" s="8" t="s">
        <v>125</v>
      </c>
      <c r="J14" s="18" t="n">
        <v>31</v>
      </c>
      <c r="K14" s="18" t="n">
        <v>1</v>
      </c>
      <c r="L14" s="19" t="n">
        <v>25.7</v>
      </c>
    </row>
    <row r="15" customFormat="false" ht="15" hidden="false" customHeight="false" outlineLevel="0" collapsed="false">
      <c r="A15" s="20" t="s">
        <v>126</v>
      </c>
      <c r="B15" s="21" t="s">
        <v>127</v>
      </c>
      <c r="C15" s="19" t="n">
        <v>3.6</v>
      </c>
      <c r="D15" s="8" t="s">
        <v>128</v>
      </c>
      <c r="E15" s="8" t="s">
        <v>129</v>
      </c>
      <c r="F15" s="8" t="s">
        <v>130</v>
      </c>
      <c r="G15" s="21" t="s">
        <v>131</v>
      </c>
      <c r="I15" s="8" t="s">
        <v>132</v>
      </c>
      <c r="J15" s="18" t="n">
        <v>30</v>
      </c>
      <c r="K15" s="18" t="n">
        <v>0</v>
      </c>
      <c r="L15" s="19" t="n">
        <v>22.2</v>
      </c>
    </row>
    <row r="16" customFormat="false" ht="15" hidden="false" customHeight="false" outlineLevel="0" collapsed="false">
      <c r="A16" s="20" t="s">
        <v>133</v>
      </c>
      <c r="B16" s="21" t="s">
        <v>134</v>
      </c>
      <c r="C16" s="22" t="n">
        <v>4.186</v>
      </c>
      <c r="D16" s="8" t="s">
        <v>135</v>
      </c>
      <c r="E16" s="8" t="s">
        <v>129</v>
      </c>
      <c r="F16" s="8"/>
      <c r="G16" s="21" t="s">
        <v>136</v>
      </c>
      <c r="I16" s="8" t="s">
        <v>137</v>
      </c>
      <c r="J16" s="18" t="n">
        <v>31</v>
      </c>
      <c r="K16" s="18" t="n">
        <v>0</v>
      </c>
      <c r="L16" s="19" t="n">
        <v>18.2</v>
      </c>
    </row>
    <row r="17" customFormat="false" ht="15" hidden="false" customHeight="false" outlineLevel="0" collapsed="false">
      <c r="A17" s="10" t="s">
        <v>138</v>
      </c>
      <c r="B17" s="11"/>
      <c r="C17" s="11"/>
      <c r="D17" s="11"/>
      <c r="E17" s="11"/>
      <c r="F17" s="11"/>
      <c r="G17" s="11"/>
      <c r="I17" s="17" t="s">
        <v>139</v>
      </c>
      <c r="J17" s="23" t="n">
        <f aca="false">SUM(J5:J16)</f>
        <v>365</v>
      </c>
      <c r="K17" s="23" t="n">
        <f aca="false">SUM(K5:K16)</f>
        <v>6</v>
      </c>
      <c r="L17" s="24" t="n">
        <f aca="false">SUMPRODUCT(J5:J16,L5:L16)/J17</f>
        <v>23.5493150684932</v>
      </c>
    </row>
    <row r="18" customFormat="false" ht="23.85" hidden="false" customHeight="false" outlineLevel="0" collapsed="false">
      <c r="A18" s="20" t="s">
        <v>140</v>
      </c>
      <c r="B18" s="21" t="s">
        <v>141</v>
      </c>
      <c r="C18" s="22" t="n">
        <v>1.406</v>
      </c>
      <c r="D18" s="8" t="s">
        <v>142</v>
      </c>
      <c r="E18" s="8" t="s">
        <v>129</v>
      </c>
      <c r="F18" s="8" t="s">
        <v>143</v>
      </c>
      <c r="G18" s="21" t="s">
        <v>144</v>
      </c>
      <c r="I18" s="2" t="s">
        <v>145</v>
      </c>
    </row>
    <row r="19" customFormat="false" ht="15" hidden="false" customHeight="false" outlineLevel="0" collapsed="false">
      <c r="A19" s="20" t="s">
        <v>146</v>
      </c>
      <c r="B19" s="21" t="s">
        <v>147</v>
      </c>
      <c r="C19" s="19" t="n">
        <v>1.2</v>
      </c>
      <c r="D19" s="8" t="s">
        <v>142</v>
      </c>
      <c r="E19" s="8" t="s">
        <v>129</v>
      </c>
      <c r="F19" s="8" t="s">
        <v>148</v>
      </c>
      <c r="G19" s="21" t="s">
        <v>149</v>
      </c>
    </row>
    <row r="20" customFormat="false" ht="15" hidden="false" customHeight="false" outlineLevel="0" collapsed="false">
      <c r="A20" s="20" t="s">
        <v>150</v>
      </c>
      <c r="B20" s="21" t="s">
        <v>151</v>
      </c>
      <c r="C20" s="25" t="n">
        <v>2.31</v>
      </c>
      <c r="D20" s="8" t="s">
        <v>142</v>
      </c>
      <c r="E20" s="8" t="s">
        <v>129</v>
      </c>
      <c r="F20" s="8" t="s">
        <v>148</v>
      </c>
      <c r="G20" s="21" t="s">
        <v>152</v>
      </c>
    </row>
    <row r="21" customFormat="false" ht="15" hidden="false" customHeight="false" outlineLevel="0" collapsed="false">
      <c r="A21" s="20" t="s">
        <v>153</v>
      </c>
      <c r="B21" s="21" t="s">
        <v>154</v>
      </c>
      <c r="C21" s="25" t="n">
        <v>0.34</v>
      </c>
      <c r="D21" s="8" t="s">
        <v>155</v>
      </c>
      <c r="E21" s="8" t="s">
        <v>129</v>
      </c>
      <c r="F21" s="8" t="s">
        <v>156</v>
      </c>
      <c r="G21" s="21" t="s">
        <v>157</v>
      </c>
    </row>
    <row r="22" customFormat="false" ht="15" hidden="false" customHeight="false" outlineLevel="0" collapsed="false">
      <c r="A22" s="20" t="s">
        <v>158</v>
      </c>
      <c r="B22" s="21" t="s">
        <v>159</v>
      </c>
      <c r="C22" s="25" t="n">
        <v>0.38</v>
      </c>
      <c r="D22" s="8" t="s">
        <v>155</v>
      </c>
      <c r="E22" s="8" t="s">
        <v>129</v>
      </c>
      <c r="F22" s="8" t="s">
        <v>156</v>
      </c>
      <c r="G22" s="21" t="s">
        <v>160</v>
      </c>
    </row>
    <row r="23" customFormat="false" ht="15" hidden="false" customHeight="false" outlineLevel="0" collapsed="false">
      <c r="A23" s="20" t="s">
        <v>161</v>
      </c>
      <c r="B23" s="21" t="s">
        <v>162</v>
      </c>
      <c r="C23" s="19" t="n">
        <v>0.7</v>
      </c>
      <c r="D23" s="8" t="s">
        <v>155</v>
      </c>
      <c r="E23" s="8" t="s">
        <v>129</v>
      </c>
      <c r="F23" s="8" t="s">
        <v>163</v>
      </c>
      <c r="G23" s="21" t="s">
        <v>164</v>
      </c>
    </row>
    <row r="24" customFormat="false" ht="15" hidden="false" customHeight="false" outlineLevel="0" collapsed="false">
      <c r="A24" s="20" t="s">
        <v>165</v>
      </c>
      <c r="B24" s="21" t="s">
        <v>166</v>
      </c>
      <c r="C24" s="22" t="n">
        <v>0.624</v>
      </c>
      <c r="D24" s="8" t="s">
        <v>167</v>
      </c>
      <c r="E24" s="8" t="s">
        <v>129</v>
      </c>
      <c r="F24" s="8" t="s">
        <v>168</v>
      </c>
      <c r="G24" s="21" t="s">
        <v>169</v>
      </c>
    </row>
    <row r="25" customFormat="false" ht="15" hidden="false" customHeight="false" outlineLevel="0" collapsed="false">
      <c r="A25" s="20" t="s">
        <v>170</v>
      </c>
      <c r="B25" s="21" t="s">
        <v>171</v>
      </c>
      <c r="C25" s="22" t="n">
        <v>0.362</v>
      </c>
      <c r="D25" s="8" t="s">
        <v>167</v>
      </c>
      <c r="E25" s="8" t="s">
        <v>129</v>
      </c>
      <c r="F25" s="8" t="s">
        <v>168</v>
      </c>
      <c r="G25" s="21" t="s">
        <v>172</v>
      </c>
    </row>
    <row r="26" customFormat="false" ht="15" hidden="false" customHeight="false" outlineLevel="0" collapsed="false">
      <c r="A26" s="20" t="s">
        <v>173</v>
      </c>
      <c r="B26" s="21" t="s">
        <v>174</v>
      </c>
      <c r="C26" s="25" t="n">
        <v>0.29</v>
      </c>
      <c r="D26" s="8" t="s">
        <v>167</v>
      </c>
      <c r="E26" s="8" t="s">
        <v>129</v>
      </c>
      <c r="F26" s="8" t="s">
        <v>175</v>
      </c>
      <c r="G26" s="21" t="s">
        <v>176</v>
      </c>
    </row>
    <row r="27" customFormat="false" ht="15" hidden="false" customHeight="false" outlineLevel="0" collapsed="false">
      <c r="A27" s="20" t="s">
        <v>177</v>
      </c>
      <c r="B27" s="21" t="s">
        <v>178</v>
      </c>
      <c r="C27" s="19" t="n">
        <v>1</v>
      </c>
      <c r="D27" s="8" t="s">
        <v>179</v>
      </c>
      <c r="E27" s="8" t="s">
        <v>129</v>
      </c>
      <c r="F27" s="8" t="s">
        <v>163</v>
      </c>
      <c r="G27" s="21" t="s">
        <v>180</v>
      </c>
    </row>
    <row r="28" customFormat="false" ht="15" hidden="false" customHeight="false" outlineLevel="0" collapsed="false">
      <c r="A28" s="20" t="s">
        <v>181</v>
      </c>
      <c r="B28" s="21" t="s">
        <v>182</v>
      </c>
      <c r="C28" s="19" t="n">
        <v>4.8</v>
      </c>
      <c r="D28" s="8" t="s">
        <v>183</v>
      </c>
      <c r="E28" s="8" t="s">
        <v>129</v>
      </c>
      <c r="F28" s="8" t="s">
        <v>163</v>
      </c>
      <c r="G28" s="21" t="s">
        <v>184</v>
      </c>
    </row>
    <row r="29" customFormat="false" ht="15" hidden="false" customHeight="false" outlineLevel="0" collapsed="false">
      <c r="A29" s="20" t="s">
        <v>185</v>
      </c>
      <c r="B29" s="21" t="s">
        <v>186</v>
      </c>
      <c r="C29" s="18" t="n">
        <v>650</v>
      </c>
      <c r="D29" s="8" t="s">
        <v>179</v>
      </c>
      <c r="E29" s="8" t="s">
        <v>129</v>
      </c>
      <c r="F29" s="8" t="s">
        <v>163</v>
      </c>
      <c r="G29" s="21" t="s">
        <v>187</v>
      </c>
    </row>
    <row r="30" customFormat="false" ht="15" hidden="false" customHeight="false" outlineLevel="0" collapsed="false">
      <c r="A30" s="20" t="s">
        <v>188</v>
      </c>
      <c r="B30" s="21" t="s">
        <v>189</v>
      </c>
      <c r="C30" s="18" t="n">
        <v>1725</v>
      </c>
      <c r="D30" s="8" t="s">
        <v>179</v>
      </c>
      <c r="E30" s="8" t="s">
        <v>129</v>
      </c>
      <c r="F30" s="8" t="s">
        <v>163</v>
      </c>
      <c r="G30" s="21" t="s">
        <v>187</v>
      </c>
    </row>
    <row r="31" customFormat="false" ht="23.85" hidden="false" customHeight="false" outlineLevel="0" collapsed="false">
      <c r="A31" s="20" t="s">
        <v>190</v>
      </c>
      <c r="B31" s="21" t="s">
        <v>191</v>
      </c>
      <c r="C31" s="25" t="n">
        <v>0.04</v>
      </c>
      <c r="D31" s="8" t="s">
        <v>192</v>
      </c>
      <c r="E31" s="8" t="s">
        <v>129</v>
      </c>
      <c r="F31" s="8" t="s">
        <v>193</v>
      </c>
      <c r="G31" s="21" t="s">
        <v>194</v>
      </c>
    </row>
    <row r="32" customFormat="false" ht="15" hidden="false" customHeight="false" outlineLevel="0" collapsed="false">
      <c r="A32" s="10" t="s">
        <v>195</v>
      </c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20" t="s">
        <v>196</v>
      </c>
      <c r="B33" s="21" t="s">
        <v>197</v>
      </c>
      <c r="C33" s="18" t="n">
        <v>140</v>
      </c>
      <c r="D33" s="8" t="s">
        <v>198</v>
      </c>
      <c r="E33" s="8" t="s">
        <v>87</v>
      </c>
      <c r="F33" s="8" t="s">
        <v>88</v>
      </c>
      <c r="G33" s="21" t="s">
        <v>199</v>
      </c>
    </row>
    <row r="34" customFormat="false" ht="15" hidden="false" customHeight="false" outlineLevel="0" collapsed="false">
      <c r="A34" s="20" t="s">
        <v>200</v>
      </c>
      <c r="B34" s="21" t="s">
        <v>201</v>
      </c>
      <c r="C34" s="18" t="n">
        <v>50</v>
      </c>
      <c r="D34" s="8" t="s">
        <v>198</v>
      </c>
      <c r="E34" s="8" t="s">
        <v>87</v>
      </c>
      <c r="F34" s="8" t="s">
        <v>88</v>
      </c>
      <c r="G34" s="21" t="s">
        <v>199</v>
      </c>
    </row>
    <row r="35" customFormat="false" ht="15" hidden="false" customHeight="false" outlineLevel="0" collapsed="false">
      <c r="A35" s="20" t="s">
        <v>202</v>
      </c>
      <c r="B35" s="21" t="s">
        <v>203</v>
      </c>
      <c r="C35" s="18" t="n">
        <v>120</v>
      </c>
      <c r="D35" s="8" t="s">
        <v>198</v>
      </c>
      <c r="E35" s="8" t="s">
        <v>87</v>
      </c>
      <c r="F35" s="8" t="s">
        <v>88</v>
      </c>
      <c r="G35" s="21" t="s">
        <v>204</v>
      </c>
    </row>
    <row r="36" customFormat="false" ht="15" hidden="false" customHeight="false" outlineLevel="0" collapsed="false">
      <c r="A36" s="20" t="s">
        <v>205</v>
      </c>
      <c r="B36" s="21" t="s">
        <v>206</v>
      </c>
      <c r="C36" s="22" t="n">
        <v>1.192</v>
      </c>
      <c r="D36" s="8" t="s">
        <v>207</v>
      </c>
      <c r="E36" s="8" t="s">
        <v>208</v>
      </c>
      <c r="F36" s="8" t="s">
        <v>209</v>
      </c>
      <c r="G36" s="21" t="s">
        <v>210</v>
      </c>
    </row>
    <row r="37" customFormat="false" ht="15" hidden="false" customHeight="false" outlineLevel="0" collapsed="false">
      <c r="A37" s="20" t="s">
        <v>211</v>
      </c>
      <c r="B37" s="21" t="s">
        <v>212</v>
      </c>
      <c r="C37" s="25" t="n">
        <v>3.34</v>
      </c>
      <c r="D37" s="8" t="s">
        <v>207</v>
      </c>
      <c r="E37" s="8" t="s">
        <v>208</v>
      </c>
      <c r="F37" s="8" t="s">
        <v>209</v>
      </c>
      <c r="G37" s="21" t="s">
        <v>213</v>
      </c>
    </row>
    <row r="38" customFormat="false" ht="15" hidden="false" customHeight="false" outlineLevel="0" collapsed="false">
      <c r="A38" s="20" t="s">
        <v>214</v>
      </c>
      <c r="B38" s="21" t="s">
        <v>215</v>
      </c>
      <c r="C38" s="26" t="n">
        <v>4.6618</v>
      </c>
      <c r="D38" s="8" t="s">
        <v>179</v>
      </c>
      <c r="E38" s="8" t="s">
        <v>208</v>
      </c>
      <c r="F38" s="8" t="s">
        <v>209</v>
      </c>
      <c r="G38" s="21" t="s">
        <v>216</v>
      </c>
    </row>
    <row r="39" customFormat="false" ht="15" hidden="false" customHeight="false" outlineLevel="0" collapsed="false">
      <c r="A39" s="20" t="s">
        <v>217</v>
      </c>
      <c r="B39" s="21" t="s">
        <v>218</v>
      </c>
      <c r="C39" s="18" t="n">
        <v>362</v>
      </c>
      <c r="D39" s="8" t="s">
        <v>19</v>
      </c>
      <c r="E39" s="8" t="s">
        <v>208</v>
      </c>
      <c r="F39" s="8" t="s">
        <v>209</v>
      </c>
      <c r="G39" s="21" t="s">
        <v>219</v>
      </c>
    </row>
    <row r="40" customFormat="false" ht="15" hidden="false" customHeight="false" outlineLevel="0" collapsed="false">
      <c r="A40" s="20" t="s">
        <v>220</v>
      </c>
      <c r="B40" s="21" t="s">
        <v>221</v>
      </c>
      <c r="C40" s="18" t="n">
        <v>1200</v>
      </c>
      <c r="D40" s="8" t="s">
        <v>222</v>
      </c>
      <c r="E40" s="8" t="s">
        <v>129</v>
      </c>
      <c r="F40" s="8" t="s">
        <v>223</v>
      </c>
      <c r="G40" s="21" t="s">
        <v>224</v>
      </c>
    </row>
    <row r="41" customFormat="false" ht="15" hidden="false" customHeight="false" outlineLevel="0" collapsed="false">
      <c r="A41" s="20" t="s">
        <v>225</v>
      </c>
      <c r="B41" s="21" t="s">
        <v>226</v>
      </c>
      <c r="C41" s="18" t="n">
        <v>12</v>
      </c>
      <c r="D41" s="8" t="s">
        <v>101</v>
      </c>
      <c r="E41" s="8" t="s">
        <v>87</v>
      </c>
      <c r="F41" s="8" t="s">
        <v>88</v>
      </c>
      <c r="G41" s="21" t="s">
        <v>227</v>
      </c>
    </row>
    <row r="42" customFormat="false" ht="15" hidden="false" customHeight="false" outlineLevel="0" collapsed="false">
      <c r="A42" s="20" t="s">
        <v>228</v>
      </c>
      <c r="B42" s="21" t="s">
        <v>229</v>
      </c>
      <c r="C42" s="18" t="n">
        <v>4</v>
      </c>
      <c r="D42" s="8" t="s">
        <v>101</v>
      </c>
      <c r="E42" s="8" t="s">
        <v>87</v>
      </c>
      <c r="F42" s="8" t="s">
        <v>88</v>
      </c>
      <c r="G42" s="21" t="s">
        <v>230</v>
      </c>
    </row>
    <row r="43" customFormat="false" ht="15" hidden="false" customHeight="false" outlineLevel="0" collapsed="false">
      <c r="A43" s="20" t="s">
        <v>231</v>
      </c>
      <c r="B43" s="21" t="s">
        <v>232</v>
      </c>
      <c r="C43" s="18" t="n">
        <v>25</v>
      </c>
      <c r="D43" s="8" t="s">
        <v>233</v>
      </c>
      <c r="E43" s="8" t="s">
        <v>87</v>
      </c>
      <c r="F43" s="8" t="s">
        <v>88</v>
      </c>
      <c r="G43" s="21" t="s">
        <v>234</v>
      </c>
    </row>
    <row r="44" customFormat="false" ht="23.85" hidden="false" customHeight="false" outlineLevel="0" collapsed="false">
      <c r="A44" s="20" t="s">
        <v>235</v>
      </c>
      <c r="B44" s="21" t="s">
        <v>236</v>
      </c>
      <c r="C44" s="27" t="n">
        <v>0.4</v>
      </c>
      <c r="D44" s="8" t="s">
        <v>237</v>
      </c>
      <c r="E44" s="8" t="s">
        <v>238</v>
      </c>
      <c r="F44" s="8"/>
      <c r="G44" s="21" t="s">
        <v>239</v>
      </c>
    </row>
    <row r="45" customFormat="false" ht="15" hidden="false" customHeight="false" outlineLevel="0" collapsed="false">
      <c r="A45" s="20" t="s">
        <v>240</v>
      </c>
      <c r="B45" s="21" t="s">
        <v>241</v>
      </c>
      <c r="C45" s="25" t="n">
        <v>0.03</v>
      </c>
      <c r="D45" s="8" t="s">
        <v>242</v>
      </c>
      <c r="E45" s="8" t="s">
        <v>129</v>
      </c>
      <c r="F45" s="8" t="s">
        <v>243</v>
      </c>
      <c r="G45" s="21" t="s">
        <v>244</v>
      </c>
    </row>
    <row r="46" customFormat="false" ht="15" hidden="false" customHeight="false" outlineLevel="0" collapsed="false">
      <c r="A46" s="10" t="s">
        <v>245</v>
      </c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20" t="s">
        <v>246</v>
      </c>
      <c r="B47" s="21" t="s">
        <v>247</v>
      </c>
      <c r="C47" s="18" t="n">
        <v>2</v>
      </c>
      <c r="D47" s="8" t="s">
        <v>248</v>
      </c>
      <c r="E47" s="8" t="s">
        <v>208</v>
      </c>
      <c r="F47" s="8" t="s">
        <v>88</v>
      </c>
      <c r="G47" s="21" t="s">
        <v>249</v>
      </c>
    </row>
    <row r="48" customFormat="false" ht="15" hidden="false" customHeight="false" outlineLevel="0" collapsed="false">
      <c r="A48" s="20" t="s">
        <v>250</v>
      </c>
      <c r="B48" s="21" t="s">
        <v>251</v>
      </c>
      <c r="C48" s="28" t="n">
        <v>20</v>
      </c>
      <c r="D48" s="8" t="s">
        <v>252</v>
      </c>
      <c r="E48" s="8" t="s">
        <v>238</v>
      </c>
      <c r="F48" s="8"/>
      <c r="G48" s="21" t="s">
        <v>253</v>
      </c>
    </row>
    <row r="49" customFormat="false" ht="15" hidden="false" customHeight="false" outlineLevel="0" collapsed="false">
      <c r="A49" s="20" t="s">
        <v>254</v>
      </c>
      <c r="B49" s="21" t="s">
        <v>255</v>
      </c>
      <c r="C49" s="18" t="n">
        <v>6</v>
      </c>
      <c r="D49" s="8" t="s">
        <v>101</v>
      </c>
      <c r="E49" s="8" t="s">
        <v>87</v>
      </c>
      <c r="F49" s="8" t="s">
        <v>88</v>
      </c>
      <c r="G49" s="21" t="s">
        <v>256</v>
      </c>
    </row>
    <row r="50" customFormat="false" ht="15" hidden="false" customHeight="false" outlineLevel="0" collapsed="false">
      <c r="A50" s="20" t="s">
        <v>257</v>
      </c>
      <c r="B50" s="21" t="s">
        <v>258</v>
      </c>
      <c r="C50" s="18" t="n">
        <v>2</v>
      </c>
      <c r="D50" s="8" t="s">
        <v>248</v>
      </c>
      <c r="E50" s="8" t="s">
        <v>87</v>
      </c>
      <c r="F50" s="8" t="s">
        <v>88</v>
      </c>
      <c r="G50" s="21" t="s">
        <v>259</v>
      </c>
    </row>
    <row r="51" customFormat="false" ht="15" hidden="false" customHeight="false" outlineLevel="0" collapsed="false">
      <c r="A51" s="20" t="s">
        <v>260</v>
      </c>
      <c r="B51" s="21" t="s">
        <v>261</v>
      </c>
      <c r="C51" s="28" t="n">
        <v>10</v>
      </c>
      <c r="D51" s="8" t="s">
        <v>252</v>
      </c>
      <c r="E51" s="8" t="s">
        <v>238</v>
      </c>
      <c r="F51" s="8"/>
      <c r="G51" s="21" t="s">
        <v>262</v>
      </c>
    </row>
    <row r="52" customFormat="false" ht="15" hidden="false" customHeight="false" outlineLevel="0" collapsed="false">
      <c r="A52" s="20" t="s">
        <v>263</v>
      </c>
      <c r="B52" s="21" t="s">
        <v>264</v>
      </c>
      <c r="C52" s="28" t="n">
        <v>4</v>
      </c>
      <c r="D52" s="8" t="s">
        <v>101</v>
      </c>
      <c r="E52" s="8" t="s">
        <v>238</v>
      </c>
      <c r="F52" s="8"/>
      <c r="G52" s="21" t="s">
        <v>265</v>
      </c>
    </row>
    <row r="53" customFormat="false" ht="15" hidden="false" customHeight="false" outlineLevel="0" collapsed="false">
      <c r="A53" s="20" t="s">
        <v>266</v>
      </c>
      <c r="B53" s="21" t="s">
        <v>267</v>
      </c>
      <c r="C53" s="18" t="n">
        <v>65</v>
      </c>
      <c r="D53" s="8" t="s">
        <v>252</v>
      </c>
      <c r="E53" s="8" t="s">
        <v>208</v>
      </c>
      <c r="F53" s="8" t="s">
        <v>88</v>
      </c>
      <c r="G53" s="21" t="s">
        <v>268</v>
      </c>
    </row>
    <row r="54" customFormat="false" ht="15" hidden="false" customHeight="false" outlineLevel="0" collapsed="false">
      <c r="A54" s="20" t="s">
        <v>269</v>
      </c>
      <c r="B54" s="21" t="s">
        <v>270</v>
      </c>
      <c r="C54" s="27" t="n">
        <v>0.5</v>
      </c>
      <c r="D54" s="8" t="s">
        <v>179</v>
      </c>
      <c r="E54" s="8" t="s">
        <v>238</v>
      </c>
      <c r="F54" s="8"/>
      <c r="G54" s="21" t="s">
        <v>271</v>
      </c>
    </row>
    <row r="55" customFormat="false" ht="15" hidden="false" customHeight="false" outlineLevel="0" collapsed="false">
      <c r="A55" s="20" t="s">
        <v>272</v>
      </c>
      <c r="B55" s="21" t="s">
        <v>273</v>
      </c>
      <c r="C55" s="18" t="n">
        <v>8</v>
      </c>
      <c r="D55" s="8" t="s">
        <v>101</v>
      </c>
      <c r="E55" s="8" t="s">
        <v>87</v>
      </c>
      <c r="F55" s="8" t="s">
        <v>88</v>
      </c>
      <c r="G55" s="21" t="s">
        <v>274</v>
      </c>
    </row>
    <row r="56" customFormat="false" ht="15" hidden="false" customHeight="false" outlineLevel="0" collapsed="false">
      <c r="A56" s="20" t="s">
        <v>275</v>
      </c>
      <c r="B56" s="21" t="s">
        <v>276</v>
      </c>
      <c r="C56" s="28" t="n">
        <v>2</v>
      </c>
      <c r="D56" s="8" t="s">
        <v>248</v>
      </c>
      <c r="E56" s="8" t="s">
        <v>238</v>
      </c>
      <c r="F56" s="8"/>
      <c r="G56" s="21" t="s">
        <v>277</v>
      </c>
    </row>
    <row r="57" customFormat="false" ht="15" hidden="false" customHeight="false" outlineLevel="0" collapsed="false">
      <c r="A57" s="20" t="s">
        <v>278</v>
      </c>
      <c r="B57" s="21" t="s">
        <v>279</v>
      </c>
      <c r="C57" s="28" t="n">
        <v>20</v>
      </c>
      <c r="D57" s="8" t="s">
        <v>252</v>
      </c>
      <c r="E57" s="8" t="s">
        <v>238</v>
      </c>
      <c r="F57" s="8"/>
      <c r="G57" s="21" t="s">
        <v>280</v>
      </c>
    </row>
    <row r="58" customFormat="false" ht="15" hidden="false" customHeight="false" outlineLevel="0" collapsed="false">
      <c r="A58" s="20" t="s">
        <v>281</v>
      </c>
      <c r="B58" s="21" t="s">
        <v>282</v>
      </c>
      <c r="C58" s="18" t="n">
        <v>1</v>
      </c>
      <c r="D58" s="8" t="s">
        <v>101</v>
      </c>
      <c r="E58" s="8" t="s">
        <v>87</v>
      </c>
      <c r="F58" s="8" t="s">
        <v>88</v>
      </c>
      <c r="G58" s="21" t="s">
        <v>283</v>
      </c>
    </row>
    <row r="59" customFormat="false" ht="15" hidden="false" customHeight="false" outlineLevel="0" collapsed="false">
      <c r="A59" s="20" t="s">
        <v>284</v>
      </c>
      <c r="B59" s="21" t="s">
        <v>285</v>
      </c>
      <c r="C59" s="28" t="n">
        <v>2</v>
      </c>
      <c r="D59" s="8" t="s">
        <v>248</v>
      </c>
      <c r="E59" s="8" t="s">
        <v>238</v>
      </c>
      <c r="F59" s="8"/>
      <c r="G59" s="21" t="s">
        <v>277</v>
      </c>
    </row>
    <row r="60" customFormat="false" ht="15" hidden="false" customHeight="false" outlineLevel="0" collapsed="false">
      <c r="A60" s="20" t="s">
        <v>286</v>
      </c>
      <c r="B60" s="21" t="s">
        <v>287</v>
      </c>
      <c r="C60" s="18" t="n">
        <v>20</v>
      </c>
      <c r="D60" s="8" t="s">
        <v>252</v>
      </c>
      <c r="E60" s="8" t="s">
        <v>208</v>
      </c>
      <c r="F60" s="8" t="s">
        <v>88</v>
      </c>
      <c r="G60" s="21" t="s">
        <v>288</v>
      </c>
    </row>
    <row r="61" customFormat="false" ht="15" hidden="false" customHeight="false" outlineLevel="0" collapsed="false">
      <c r="A61" s="20" t="s">
        <v>289</v>
      </c>
      <c r="B61" s="21" t="s">
        <v>290</v>
      </c>
      <c r="C61" s="18" t="n">
        <v>12</v>
      </c>
      <c r="D61" s="8" t="s">
        <v>101</v>
      </c>
      <c r="E61" s="8" t="s">
        <v>87</v>
      </c>
      <c r="F61" s="8" t="s">
        <v>88</v>
      </c>
      <c r="G61" s="21" t="s">
        <v>291</v>
      </c>
    </row>
    <row r="62" customFormat="false" ht="15" hidden="false" customHeight="false" outlineLevel="0" collapsed="false">
      <c r="A62" s="10" t="s">
        <v>292</v>
      </c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20" t="s">
        <v>293</v>
      </c>
      <c r="B63" s="21" t="s">
        <v>294</v>
      </c>
      <c r="C63" s="18" t="n">
        <v>1</v>
      </c>
      <c r="D63" s="8" t="s">
        <v>295</v>
      </c>
      <c r="E63" s="8" t="s">
        <v>87</v>
      </c>
      <c r="F63" s="8" t="s">
        <v>88</v>
      </c>
      <c r="G63" s="21" t="s">
        <v>296</v>
      </c>
    </row>
    <row r="64" customFormat="false" ht="15" hidden="false" customHeight="false" outlineLevel="0" collapsed="false">
      <c r="A64" s="20" t="s">
        <v>297</v>
      </c>
      <c r="B64" s="21" t="s">
        <v>298</v>
      </c>
      <c r="C64" s="18" t="n">
        <v>5</v>
      </c>
      <c r="D64" s="8" t="s">
        <v>299</v>
      </c>
      <c r="E64" s="8" t="s">
        <v>87</v>
      </c>
      <c r="F64" s="8" t="s">
        <v>88</v>
      </c>
      <c r="G64" s="21" t="s">
        <v>296</v>
      </c>
    </row>
    <row r="65" customFormat="false" ht="15" hidden="false" customHeight="false" outlineLevel="0" collapsed="false">
      <c r="A65" s="20" t="s">
        <v>300</v>
      </c>
      <c r="B65" s="21" t="s">
        <v>301</v>
      </c>
      <c r="C65" s="28" t="n">
        <v>9</v>
      </c>
      <c r="D65" s="8" t="s">
        <v>302</v>
      </c>
      <c r="E65" s="8" t="s">
        <v>238</v>
      </c>
      <c r="F65" s="8"/>
      <c r="G65" s="21" t="s">
        <v>303</v>
      </c>
    </row>
    <row r="66" customFormat="false" ht="15" hidden="false" customHeight="false" outlineLevel="0" collapsed="false">
      <c r="A66" s="20" t="s">
        <v>304</v>
      </c>
      <c r="B66" s="21" t="s">
        <v>305</v>
      </c>
      <c r="C66" s="28" t="n">
        <v>40</v>
      </c>
      <c r="D66" s="8" t="s">
        <v>233</v>
      </c>
      <c r="E66" s="8" t="s">
        <v>238</v>
      </c>
      <c r="F66" s="8"/>
      <c r="G66" s="21" t="s">
        <v>306</v>
      </c>
    </row>
    <row r="67" customFormat="false" ht="15" hidden="false" customHeight="false" outlineLevel="0" collapsed="false">
      <c r="A67" s="20" t="s">
        <v>307</v>
      </c>
      <c r="B67" s="21" t="s">
        <v>308</v>
      </c>
      <c r="C67" s="29" t="n">
        <v>0.99</v>
      </c>
      <c r="D67" s="8" t="s">
        <v>179</v>
      </c>
      <c r="E67" s="8" t="s">
        <v>238</v>
      </c>
      <c r="F67" s="8" t="s">
        <v>309</v>
      </c>
      <c r="G67" s="21" t="s">
        <v>310</v>
      </c>
    </row>
    <row r="68" customFormat="false" ht="15" hidden="false" customHeight="false" outlineLevel="0" collapsed="false">
      <c r="A68" s="20" t="s">
        <v>311</v>
      </c>
      <c r="B68" s="21" t="s">
        <v>312</v>
      </c>
      <c r="C68" s="19" t="n">
        <v>24.4</v>
      </c>
      <c r="D68" s="8" t="s">
        <v>207</v>
      </c>
      <c r="E68" s="8" t="s">
        <v>129</v>
      </c>
      <c r="F68" s="8" t="s">
        <v>309</v>
      </c>
      <c r="G68" s="21" t="s">
        <v>313</v>
      </c>
    </row>
    <row r="69" customFormat="false" ht="15" hidden="false" customHeight="false" outlineLevel="0" collapsed="false">
      <c r="A69" s="20" t="s">
        <v>314</v>
      </c>
      <c r="B69" s="21" t="s">
        <v>315</v>
      </c>
      <c r="C69" s="28" t="n">
        <v>30</v>
      </c>
      <c r="D69" s="8" t="s">
        <v>252</v>
      </c>
      <c r="E69" s="8" t="s">
        <v>238</v>
      </c>
      <c r="F69" s="8"/>
      <c r="G69" s="21" t="s">
        <v>316</v>
      </c>
    </row>
    <row r="70" customFormat="false" ht="15" hidden="false" customHeight="false" outlineLevel="0" collapsed="false">
      <c r="A70" s="20" t="s">
        <v>317</v>
      </c>
      <c r="B70" s="21" t="s">
        <v>318</v>
      </c>
      <c r="C70" s="18" t="n">
        <v>24</v>
      </c>
      <c r="D70" s="8" t="s">
        <v>101</v>
      </c>
      <c r="E70" s="8" t="s">
        <v>87</v>
      </c>
      <c r="F70" s="8" t="s">
        <v>88</v>
      </c>
      <c r="G70" s="21" t="s">
        <v>319</v>
      </c>
    </row>
    <row r="71" customFormat="false" ht="15" hidden="false" customHeight="false" outlineLevel="0" collapsed="false">
      <c r="A71" s="20" t="s">
        <v>320</v>
      </c>
      <c r="B71" s="21" t="s">
        <v>321</v>
      </c>
      <c r="C71" s="18" t="n">
        <v>3</v>
      </c>
      <c r="D71" s="8" t="s">
        <v>248</v>
      </c>
      <c r="E71" s="8" t="s">
        <v>208</v>
      </c>
      <c r="F71" s="8" t="s">
        <v>88</v>
      </c>
      <c r="G71" s="21" t="s">
        <v>322</v>
      </c>
    </row>
    <row r="72" customFormat="false" ht="15" hidden="false" customHeight="false" outlineLevel="0" collapsed="false">
      <c r="A72" s="20" t="s">
        <v>323</v>
      </c>
      <c r="B72" s="21" t="s">
        <v>324</v>
      </c>
      <c r="C72" s="28" t="n">
        <v>10</v>
      </c>
      <c r="D72" s="8" t="s">
        <v>252</v>
      </c>
      <c r="E72" s="8" t="s">
        <v>238</v>
      </c>
      <c r="F72" s="8"/>
      <c r="G72" s="21" t="s">
        <v>325</v>
      </c>
    </row>
    <row r="73" customFormat="false" ht="15" hidden="false" customHeight="false" outlineLevel="0" collapsed="false">
      <c r="A73" s="20" t="s">
        <v>326</v>
      </c>
      <c r="B73" s="21" t="s">
        <v>327</v>
      </c>
      <c r="C73" s="18" t="n">
        <v>3</v>
      </c>
      <c r="D73" s="8" t="s">
        <v>101</v>
      </c>
      <c r="E73" s="8" t="s">
        <v>87</v>
      </c>
      <c r="F73" s="8" t="s">
        <v>88</v>
      </c>
      <c r="G73" s="21" t="s">
        <v>328</v>
      </c>
    </row>
    <row r="74" customFormat="false" ht="15" hidden="false" customHeight="false" outlineLevel="0" collapsed="false">
      <c r="A74" s="10" t="s">
        <v>329</v>
      </c>
      <c r="B74" s="11"/>
      <c r="C74" s="11"/>
      <c r="D74" s="11"/>
      <c r="E74" s="11"/>
      <c r="F74" s="11"/>
      <c r="G74" s="11"/>
    </row>
    <row r="75" customFormat="false" ht="15" hidden="false" customHeight="false" outlineLevel="0" collapsed="false">
      <c r="A75" s="20" t="s">
        <v>330</v>
      </c>
      <c r="B75" s="21" t="s">
        <v>331</v>
      </c>
      <c r="C75" s="18" t="n">
        <v>2</v>
      </c>
      <c r="D75" s="8" t="s">
        <v>248</v>
      </c>
      <c r="E75" s="8" t="s">
        <v>87</v>
      </c>
      <c r="F75" s="8" t="s">
        <v>88</v>
      </c>
      <c r="G75" s="21" t="s">
        <v>332</v>
      </c>
    </row>
    <row r="76" customFormat="false" ht="15" hidden="false" customHeight="false" outlineLevel="0" collapsed="false">
      <c r="A76" s="20" t="s">
        <v>333</v>
      </c>
      <c r="B76" s="21" t="s">
        <v>334</v>
      </c>
      <c r="C76" s="18" t="n">
        <v>263</v>
      </c>
      <c r="D76" s="8" t="s">
        <v>19</v>
      </c>
      <c r="E76" s="8" t="s">
        <v>208</v>
      </c>
      <c r="F76" s="8" t="s">
        <v>88</v>
      </c>
      <c r="G76" s="21" t="s">
        <v>335</v>
      </c>
    </row>
    <row r="77" customFormat="false" ht="23.85" hidden="false" customHeight="false" outlineLevel="0" collapsed="false">
      <c r="A77" s="20" t="s">
        <v>336</v>
      </c>
      <c r="B77" s="21" t="s">
        <v>337</v>
      </c>
      <c r="C77" s="27" t="n">
        <v>1.5</v>
      </c>
      <c r="D77" s="8" t="s">
        <v>338</v>
      </c>
      <c r="E77" s="8" t="s">
        <v>238</v>
      </c>
      <c r="F77" s="8" t="s">
        <v>339</v>
      </c>
      <c r="G77" s="21" t="s">
        <v>340</v>
      </c>
    </row>
    <row r="78" customFormat="false" ht="15" hidden="false" customHeight="false" outlineLevel="0" collapsed="false">
      <c r="A78" s="20" t="s">
        <v>341</v>
      </c>
      <c r="B78" s="21" t="s">
        <v>342</v>
      </c>
      <c r="C78" s="18" t="n">
        <v>688</v>
      </c>
      <c r="D78" s="8" t="s">
        <v>19</v>
      </c>
      <c r="E78" s="8" t="s">
        <v>208</v>
      </c>
      <c r="F78" s="8" t="s">
        <v>88</v>
      </c>
      <c r="G78" s="21" t="s">
        <v>343</v>
      </c>
    </row>
    <row r="79" customFormat="false" ht="15" hidden="false" customHeight="false" outlineLevel="0" collapsed="false">
      <c r="A79" s="20" t="s">
        <v>344</v>
      </c>
      <c r="B79" s="21" t="s">
        <v>345</v>
      </c>
      <c r="C79" s="18" t="n">
        <v>8</v>
      </c>
      <c r="D79" s="8" t="s">
        <v>101</v>
      </c>
      <c r="E79" s="8" t="s">
        <v>87</v>
      </c>
      <c r="F79" s="8" t="s">
        <v>88</v>
      </c>
      <c r="G79" s="21" t="s">
        <v>346</v>
      </c>
    </row>
    <row r="80" customFormat="false" ht="15" hidden="false" customHeight="false" outlineLevel="0" collapsed="false">
      <c r="A80" s="20" t="s">
        <v>347</v>
      </c>
      <c r="B80" s="21" t="s">
        <v>348</v>
      </c>
      <c r="C80" s="28" t="n">
        <v>4</v>
      </c>
      <c r="D80" s="8" t="s">
        <v>101</v>
      </c>
      <c r="E80" s="8" t="s">
        <v>238</v>
      </c>
      <c r="F80" s="8"/>
      <c r="G80" s="21" t="s">
        <v>349</v>
      </c>
    </row>
    <row r="81" customFormat="false" ht="15" hidden="false" customHeight="false" outlineLevel="0" collapsed="false">
      <c r="A81" s="20" t="s">
        <v>350</v>
      </c>
      <c r="B81" s="21" t="s">
        <v>351</v>
      </c>
      <c r="C81" s="27" t="n">
        <v>1.4</v>
      </c>
      <c r="D81" s="8" t="s">
        <v>237</v>
      </c>
      <c r="E81" s="8" t="s">
        <v>238</v>
      </c>
      <c r="F81" s="8"/>
      <c r="G81" s="21" t="s">
        <v>352</v>
      </c>
    </row>
    <row r="82" customFormat="false" ht="15" hidden="false" customHeight="false" outlineLevel="0" collapsed="false">
      <c r="A82" s="20" t="s">
        <v>353</v>
      </c>
      <c r="B82" s="21" t="s">
        <v>354</v>
      </c>
      <c r="C82" s="28" t="n">
        <v>6</v>
      </c>
      <c r="D82" s="8" t="s">
        <v>248</v>
      </c>
      <c r="E82" s="8" t="s">
        <v>238</v>
      </c>
      <c r="F82" s="8"/>
      <c r="G82" s="21" t="s">
        <v>355</v>
      </c>
    </row>
    <row r="83" customFormat="false" ht="15" hidden="false" customHeight="false" outlineLevel="0" collapsed="false">
      <c r="A83" s="20" t="s">
        <v>356</v>
      </c>
      <c r="B83" s="21" t="s">
        <v>357</v>
      </c>
      <c r="C83" s="28" t="n">
        <v>15</v>
      </c>
      <c r="D83" s="8" t="s">
        <v>252</v>
      </c>
      <c r="E83" s="8" t="s">
        <v>238</v>
      </c>
      <c r="F83" s="8"/>
      <c r="G83" s="21" t="s">
        <v>358</v>
      </c>
    </row>
    <row r="84" customFormat="false" ht="15" hidden="false" customHeight="false" outlineLevel="0" collapsed="false">
      <c r="A84" s="20" t="s">
        <v>359</v>
      </c>
      <c r="B84" s="21" t="s">
        <v>360</v>
      </c>
      <c r="C84" s="28" t="n">
        <v>16</v>
      </c>
      <c r="D84" s="8" t="s">
        <v>101</v>
      </c>
      <c r="E84" s="8" t="s">
        <v>238</v>
      </c>
      <c r="F84" s="8"/>
      <c r="G84" s="21" t="s">
        <v>361</v>
      </c>
    </row>
    <row r="85" customFormat="false" ht="15" hidden="false" customHeight="false" outlineLevel="0" collapsed="false">
      <c r="A85" s="20" t="s">
        <v>362</v>
      </c>
      <c r="B85" s="21" t="s">
        <v>363</v>
      </c>
      <c r="C85" s="18" t="n">
        <v>3</v>
      </c>
      <c r="D85" s="8" t="s">
        <v>364</v>
      </c>
      <c r="E85" s="8" t="s">
        <v>87</v>
      </c>
      <c r="F85" s="8" t="s">
        <v>88</v>
      </c>
      <c r="G85" s="21" t="s">
        <v>365</v>
      </c>
    </row>
    <row r="86" customFormat="false" ht="15" hidden="false" customHeight="false" outlineLevel="0" collapsed="false">
      <c r="A86" s="20" t="s">
        <v>366</v>
      </c>
      <c r="B86" s="21" t="s">
        <v>367</v>
      </c>
      <c r="C86" s="18" t="n">
        <v>1</v>
      </c>
      <c r="D86" s="8" t="s">
        <v>368</v>
      </c>
      <c r="E86" s="8" t="s">
        <v>87</v>
      </c>
      <c r="F86" s="8" t="s">
        <v>88</v>
      </c>
      <c r="G86" s="21" t="s">
        <v>365</v>
      </c>
    </row>
    <row r="87" customFormat="false" ht="23.85" hidden="false" customHeight="false" outlineLevel="0" collapsed="false">
      <c r="A87" s="20" t="s">
        <v>369</v>
      </c>
      <c r="B87" s="21" t="s">
        <v>370</v>
      </c>
      <c r="C87" s="27" t="n">
        <v>1</v>
      </c>
      <c r="D87" s="8" t="s">
        <v>207</v>
      </c>
      <c r="E87" s="8" t="s">
        <v>238</v>
      </c>
      <c r="F87" s="8"/>
      <c r="G87" s="21" t="s">
        <v>371</v>
      </c>
    </row>
    <row r="88" customFormat="false" ht="15" hidden="false" customHeight="false" outlineLevel="0" collapsed="false">
      <c r="A88" s="10" t="s">
        <v>372</v>
      </c>
      <c r="B88" s="11"/>
      <c r="C88" s="11"/>
      <c r="D88" s="11"/>
      <c r="E88" s="11"/>
      <c r="F88" s="11"/>
      <c r="G88" s="11"/>
    </row>
    <row r="89" customFormat="false" ht="15" hidden="false" customHeight="false" outlineLevel="0" collapsed="false">
      <c r="A89" s="20" t="s">
        <v>373</v>
      </c>
      <c r="B89" s="21" t="s">
        <v>374</v>
      </c>
      <c r="C89" s="18" t="n">
        <v>1</v>
      </c>
      <c r="D89" s="8" t="s">
        <v>364</v>
      </c>
      <c r="E89" s="8" t="s">
        <v>87</v>
      </c>
      <c r="F89" s="8" t="s">
        <v>88</v>
      </c>
      <c r="G89" s="21" t="s">
        <v>375</v>
      </c>
    </row>
    <row r="90" customFormat="false" ht="15" hidden="false" customHeight="false" outlineLevel="0" collapsed="false">
      <c r="A90" s="20" t="s">
        <v>376</v>
      </c>
      <c r="B90" s="21" t="s">
        <v>377</v>
      </c>
      <c r="C90" s="27" t="n">
        <v>0.3</v>
      </c>
      <c r="D90" s="8" t="s">
        <v>378</v>
      </c>
      <c r="E90" s="8" t="s">
        <v>238</v>
      </c>
      <c r="F90" s="8"/>
      <c r="G90" s="21" t="s">
        <v>379</v>
      </c>
    </row>
    <row r="91" customFormat="false" ht="15" hidden="false" customHeight="false" outlineLevel="0" collapsed="false">
      <c r="A91" s="20" t="s">
        <v>380</v>
      </c>
      <c r="B91" s="21" t="s">
        <v>381</v>
      </c>
      <c r="C91" s="27" t="n">
        <v>3</v>
      </c>
      <c r="D91" s="8" t="s">
        <v>207</v>
      </c>
      <c r="E91" s="8" t="s">
        <v>238</v>
      </c>
      <c r="F91" s="8"/>
      <c r="G91" s="21" t="s">
        <v>382</v>
      </c>
    </row>
    <row r="92" customFormat="false" ht="15" hidden="false" customHeight="false" outlineLevel="0" collapsed="false">
      <c r="A92" s="20" t="s">
        <v>383</v>
      </c>
      <c r="B92" s="21" t="s">
        <v>384</v>
      </c>
      <c r="C92" s="18" t="n">
        <v>12</v>
      </c>
      <c r="D92" s="8" t="s">
        <v>299</v>
      </c>
      <c r="E92" s="8" t="s">
        <v>87</v>
      </c>
      <c r="F92" s="8" t="s">
        <v>88</v>
      </c>
      <c r="G92" s="21" t="s">
        <v>385</v>
      </c>
    </row>
    <row r="93" customFormat="false" ht="15" hidden="false" customHeight="false" outlineLevel="0" collapsed="false">
      <c r="A93" s="20" t="s">
        <v>386</v>
      </c>
      <c r="B93" s="21" t="s">
        <v>387</v>
      </c>
      <c r="C93" s="28" t="n">
        <v>60</v>
      </c>
      <c r="D93" s="8" t="s">
        <v>388</v>
      </c>
      <c r="E93" s="8" t="s">
        <v>238</v>
      </c>
      <c r="F93" s="8"/>
      <c r="G93" s="21" t="s">
        <v>389</v>
      </c>
    </row>
    <row r="94" customFormat="false" ht="15" hidden="false" customHeight="false" outlineLevel="0" collapsed="false">
      <c r="A94" s="10" t="s">
        <v>390</v>
      </c>
      <c r="B94" s="11"/>
      <c r="C94" s="11"/>
      <c r="D94" s="11"/>
      <c r="E94" s="11"/>
      <c r="F94" s="11"/>
      <c r="G94" s="11"/>
    </row>
    <row r="95" customFormat="false" ht="15" hidden="false" customHeight="false" outlineLevel="0" collapsed="false">
      <c r="A95" s="20" t="s">
        <v>391</v>
      </c>
      <c r="B95" s="21" t="s">
        <v>392</v>
      </c>
      <c r="C95" s="18" t="n">
        <v>2</v>
      </c>
      <c r="D95" s="8" t="s">
        <v>393</v>
      </c>
      <c r="E95" s="8" t="s">
        <v>87</v>
      </c>
      <c r="F95" s="8" t="s">
        <v>88</v>
      </c>
      <c r="G95" s="21" t="s">
        <v>394</v>
      </c>
    </row>
    <row r="96" customFormat="false" ht="15" hidden="false" customHeight="false" outlineLevel="0" collapsed="false">
      <c r="A96" s="20" t="s">
        <v>395</v>
      </c>
      <c r="B96" s="21" t="s">
        <v>396</v>
      </c>
      <c r="C96" s="28" t="n">
        <v>15</v>
      </c>
      <c r="D96" s="8" t="s">
        <v>393</v>
      </c>
      <c r="E96" s="8" t="s">
        <v>238</v>
      </c>
      <c r="F96" s="8"/>
      <c r="G96" s="21" t="s">
        <v>397</v>
      </c>
    </row>
    <row r="97" customFormat="false" ht="15" hidden="false" customHeight="false" outlineLevel="0" collapsed="false">
      <c r="A97" s="20" t="s">
        <v>398</v>
      </c>
      <c r="B97" s="21" t="s">
        <v>399</v>
      </c>
      <c r="C97" s="28" t="n">
        <v>30</v>
      </c>
      <c r="D97" s="8" t="s">
        <v>393</v>
      </c>
      <c r="E97" s="8" t="s">
        <v>238</v>
      </c>
      <c r="F97" s="8" t="s">
        <v>400</v>
      </c>
      <c r="G97" s="21" t="s">
        <v>401</v>
      </c>
    </row>
    <row r="98" customFormat="false" ht="15" hidden="false" customHeight="false" outlineLevel="0" collapsed="false">
      <c r="A98" s="20" t="s">
        <v>402</v>
      </c>
      <c r="B98" s="21" t="s">
        <v>403</v>
      </c>
      <c r="C98" s="18" t="n">
        <v>100</v>
      </c>
      <c r="D98" s="8" t="s">
        <v>404</v>
      </c>
      <c r="E98" s="8" t="s">
        <v>87</v>
      </c>
      <c r="F98" s="8" t="s">
        <v>88</v>
      </c>
      <c r="G98" s="21" t="s">
        <v>405</v>
      </c>
    </row>
    <row r="99" customFormat="false" ht="15" hidden="false" customHeight="false" outlineLevel="0" collapsed="false">
      <c r="A99" s="20" t="s">
        <v>406</v>
      </c>
      <c r="B99" s="21" t="s">
        <v>407</v>
      </c>
      <c r="C99" s="28" t="n">
        <v>2</v>
      </c>
      <c r="D99" s="8" t="s">
        <v>248</v>
      </c>
      <c r="E99" s="8" t="s">
        <v>238</v>
      </c>
      <c r="F99" s="8"/>
      <c r="G99" s="21"/>
    </row>
    <row r="100" customFormat="false" ht="15" hidden="false" customHeight="false" outlineLevel="0" collapsed="false">
      <c r="A100" s="20" t="s">
        <v>408</v>
      </c>
      <c r="B100" s="21" t="s">
        <v>409</v>
      </c>
      <c r="C100" s="18" t="n">
        <v>5</v>
      </c>
      <c r="D100" s="8" t="s">
        <v>410</v>
      </c>
      <c r="E100" s="8" t="s">
        <v>119</v>
      </c>
      <c r="F100" s="8"/>
      <c r="G100" s="21" t="s">
        <v>411</v>
      </c>
    </row>
    <row r="101" customFormat="false" ht="15" hidden="false" customHeight="false" outlineLevel="0" collapsed="false">
      <c r="A101" s="20" t="s">
        <v>412</v>
      </c>
      <c r="B101" s="21" t="s">
        <v>413</v>
      </c>
      <c r="C101" s="27" t="n">
        <v>0.5</v>
      </c>
      <c r="D101" s="8" t="s">
        <v>242</v>
      </c>
      <c r="E101" s="8" t="s">
        <v>238</v>
      </c>
      <c r="F101" s="8" t="s">
        <v>88</v>
      </c>
      <c r="G101" s="21" t="s">
        <v>414</v>
      </c>
    </row>
    <row r="102" customFormat="false" ht="15" hidden="false" customHeight="false" outlineLevel="0" collapsed="false">
      <c r="A102" s="10" t="s">
        <v>415</v>
      </c>
      <c r="B102" s="11"/>
      <c r="C102" s="11"/>
      <c r="D102" s="11"/>
      <c r="E102" s="11"/>
      <c r="F102" s="11"/>
      <c r="G102" s="11"/>
    </row>
    <row r="103" customFormat="false" ht="15" hidden="false" customHeight="false" outlineLevel="0" collapsed="false">
      <c r="A103" s="20" t="s">
        <v>416</v>
      </c>
      <c r="B103" s="21" t="s">
        <v>417</v>
      </c>
      <c r="C103" s="18" t="n">
        <v>216</v>
      </c>
      <c r="D103" s="8" t="s">
        <v>418</v>
      </c>
      <c r="E103" s="8" t="s">
        <v>87</v>
      </c>
      <c r="F103" s="8" t="s">
        <v>88</v>
      </c>
      <c r="G103" s="21" t="s">
        <v>419</v>
      </c>
    </row>
    <row r="104" customFormat="false" ht="15" hidden="false" customHeight="false" outlineLevel="0" collapsed="false">
      <c r="A104" s="20" t="s">
        <v>420</v>
      </c>
      <c r="B104" s="21" t="s">
        <v>421</v>
      </c>
      <c r="C104" s="28" t="n">
        <v>48</v>
      </c>
      <c r="D104" s="8" t="s">
        <v>422</v>
      </c>
      <c r="E104" s="8" t="s">
        <v>238</v>
      </c>
      <c r="F104" s="8" t="s">
        <v>88</v>
      </c>
      <c r="G104" s="21" t="s">
        <v>423</v>
      </c>
    </row>
    <row r="105" customFormat="false" ht="15" hidden="false" customHeight="false" outlineLevel="0" collapsed="false">
      <c r="A105" s="20" t="s">
        <v>424</v>
      </c>
      <c r="B105" s="21" t="s">
        <v>425</v>
      </c>
      <c r="C105" s="18" t="n">
        <v>132</v>
      </c>
      <c r="D105" s="8" t="s">
        <v>426</v>
      </c>
      <c r="E105" s="8" t="s">
        <v>87</v>
      </c>
      <c r="F105" s="8" t="s">
        <v>88</v>
      </c>
      <c r="G105" s="21" t="s">
        <v>427</v>
      </c>
    </row>
    <row r="106" customFormat="false" ht="15" hidden="false" customHeight="false" outlineLevel="0" collapsed="false">
      <c r="A106" s="20" t="s">
        <v>428</v>
      </c>
      <c r="B106" s="21" t="s">
        <v>429</v>
      </c>
      <c r="C106" s="18" t="n">
        <v>11</v>
      </c>
      <c r="D106" s="8" t="s">
        <v>430</v>
      </c>
      <c r="E106" s="8" t="s">
        <v>87</v>
      </c>
      <c r="F106" s="8" t="s">
        <v>88</v>
      </c>
      <c r="G106" s="21" t="s">
        <v>431</v>
      </c>
    </row>
    <row r="107" customFormat="false" ht="15" hidden="false" customHeight="false" outlineLevel="0" collapsed="false">
      <c r="A107" s="20" t="s">
        <v>432</v>
      </c>
      <c r="B107" s="21" t="s">
        <v>433</v>
      </c>
      <c r="C107" s="26" t="n">
        <v>0.0723</v>
      </c>
      <c r="D107" s="8" t="s">
        <v>434</v>
      </c>
      <c r="E107" s="8" t="s">
        <v>129</v>
      </c>
      <c r="F107" s="8" t="s">
        <v>435</v>
      </c>
      <c r="G107" s="21" t="s">
        <v>436</v>
      </c>
    </row>
    <row r="108" customFormat="false" ht="15" hidden="false" customHeight="false" outlineLevel="0" collapsed="false">
      <c r="A108" s="20" t="s">
        <v>437</v>
      </c>
      <c r="B108" s="21" t="s">
        <v>438</v>
      </c>
      <c r="C108" s="25" t="n">
        <v>1.08</v>
      </c>
      <c r="D108" s="8" t="s">
        <v>179</v>
      </c>
      <c r="E108" s="8" t="s">
        <v>129</v>
      </c>
      <c r="F108" s="8" t="s">
        <v>439</v>
      </c>
      <c r="G108" s="21" t="s">
        <v>440</v>
      </c>
    </row>
    <row r="109" customFormat="false" ht="15" hidden="false" customHeight="false" outlineLevel="0" collapsed="false">
      <c r="A109" s="20" t="s">
        <v>441</v>
      </c>
      <c r="B109" s="21" t="s">
        <v>442</v>
      </c>
      <c r="C109" s="30" t="n">
        <v>0.11704</v>
      </c>
      <c r="D109" s="8" t="s">
        <v>434</v>
      </c>
      <c r="E109" s="8" t="s">
        <v>129</v>
      </c>
      <c r="F109" s="8" t="s">
        <v>439</v>
      </c>
      <c r="G109" s="21" t="s">
        <v>443</v>
      </c>
    </row>
    <row r="110" customFormat="false" ht="23.85" hidden="false" customHeight="false" outlineLevel="0" collapsed="false">
      <c r="A110" s="20" t="s">
        <v>444</v>
      </c>
      <c r="B110" s="21" t="s">
        <v>445</v>
      </c>
      <c r="C110" s="26" t="n">
        <v>0.1258</v>
      </c>
      <c r="D110" s="8" t="s">
        <v>434</v>
      </c>
      <c r="E110" s="8" t="s">
        <v>129</v>
      </c>
      <c r="F110" s="8" t="s">
        <v>439</v>
      </c>
      <c r="G110" s="21" t="s">
        <v>446</v>
      </c>
    </row>
    <row r="111" customFormat="false" ht="15" hidden="false" customHeight="false" outlineLevel="0" collapsed="false">
      <c r="A111" s="20" t="s">
        <v>447</v>
      </c>
      <c r="B111" s="21" t="s">
        <v>448</v>
      </c>
      <c r="C111" s="25" t="n">
        <v>5.63</v>
      </c>
      <c r="D111" s="8" t="s">
        <v>449</v>
      </c>
      <c r="E111" s="8" t="s">
        <v>129</v>
      </c>
      <c r="F111" s="8" t="s">
        <v>450</v>
      </c>
      <c r="G111" s="21" t="s">
        <v>451</v>
      </c>
    </row>
    <row r="112" customFormat="false" ht="15" hidden="false" customHeight="false" outlineLevel="0" collapsed="false">
      <c r="A112" s="10" t="s">
        <v>452</v>
      </c>
      <c r="B112" s="11"/>
      <c r="C112" s="11"/>
      <c r="D112" s="11"/>
      <c r="E112" s="11"/>
      <c r="F112" s="11"/>
      <c r="G112" s="11"/>
    </row>
    <row r="113" customFormat="false" ht="15" hidden="false" customHeight="false" outlineLevel="0" collapsed="false">
      <c r="A113" s="20" t="s">
        <v>453</v>
      </c>
      <c r="B113" s="21" t="s">
        <v>454</v>
      </c>
      <c r="C113" s="18" t="n">
        <v>275</v>
      </c>
      <c r="D113" s="8" t="s">
        <v>455</v>
      </c>
      <c r="E113" s="8" t="s">
        <v>129</v>
      </c>
      <c r="F113" s="8" t="s">
        <v>456</v>
      </c>
      <c r="G113" s="21" t="s">
        <v>457</v>
      </c>
    </row>
    <row r="114" customFormat="false" ht="15" hidden="false" customHeight="false" outlineLevel="0" collapsed="false">
      <c r="A114" s="20" t="s">
        <v>458</v>
      </c>
      <c r="B114" s="21" t="s">
        <v>459</v>
      </c>
      <c r="C114" s="18" t="n">
        <v>3</v>
      </c>
      <c r="D114" s="8" t="s">
        <v>86</v>
      </c>
      <c r="E114" s="8" t="s">
        <v>129</v>
      </c>
      <c r="F114" s="8" t="s">
        <v>456</v>
      </c>
      <c r="G114" s="21"/>
    </row>
    <row r="115" customFormat="false" ht="15" hidden="false" customHeight="false" outlineLevel="0" collapsed="false">
      <c r="A115" s="20" t="s">
        <v>460</v>
      </c>
      <c r="B115" s="21" t="s">
        <v>461</v>
      </c>
      <c r="C115" s="19" t="n">
        <v>16</v>
      </c>
      <c r="D115" s="8" t="s">
        <v>462</v>
      </c>
      <c r="E115" s="8" t="s">
        <v>129</v>
      </c>
      <c r="F115" s="8" t="s">
        <v>463</v>
      </c>
      <c r="G115" s="21" t="s">
        <v>464</v>
      </c>
    </row>
    <row r="116" customFormat="false" ht="15" hidden="false" customHeight="false" outlineLevel="0" collapsed="false">
      <c r="A116" s="20" t="s">
        <v>465</v>
      </c>
      <c r="B116" s="21" t="s">
        <v>466</v>
      </c>
      <c r="C116" s="19" t="n">
        <v>120.9</v>
      </c>
      <c r="D116" s="8" t="s">
        <v>393</v>
      </c>
      <c r="E116" s="8" t="s">
        <v>129</v>
      </c>
      <c r="F116" s="8" t="s">
        <v>400</v>
      </c>
      <c r="G116" s="21" t="s">
        <v>467</v>
      </c>
    </row>
    <row r="117" customFormat="false" ht="15" hidden="false" customHeight="false" outlineLevel="0" collapsed="false">
      <c r="A117" s="20" t="s">
        <v>468</v>
      </c>
      <c r="B117" s="21" t="s">
        <v>469</v>
      </c>
      <c r="C117" s="25" t="n">
        <v>4.58</v>
      </c>
      <c r="D117" s="8" t="s">
        <v>470</v>
      </c>
      <c r="E117" s="8" t="s">
        <v>129</v>
      </c>
      <c r="F117" s="8" t="s">
        <v>471</v>
      </c>
      <c r="G117" s="21" t="s">
        <v>472</v>
      </c>
    </row>
    <row r="118" customFormat="false" ht="15" hidden="false" customHeight="false" outlineLevel="0" collapsed="false">
      <c r="A118" s="20" t="s">
        <v>473</v>
      </c>
      <c r="B118" s="21" t="s">
        <v>474</v>
      </c>
      <c r="C118" s="19" t="n">
        <v>6.2</v>
      </c>
      <c r="D118" s="8" t="s">
        <v>475</v>
      </c>
      <c r="E118" s="8" t="s">
        <v>129</v>
      </c>
      <c r="F118" s="8" t="s">
        <v>476</v>
      </c>
      <c r="G118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3"/>
    <col collapsed="false" customWidth="true" hidden="false" outlineLevel="0" max="10" min="10" style="0" width="4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477</v>
      </c>
    </row>
    <row r="2" customFormat="false" ht="15" hidden="false" customHeight="false" outlineLevel="0" collapsed="false">
      <c r="A2" s="2" t="s">
        <v>478</v>
      </c>
    </row>
    <row r="5" customFormat="false" ht="45" hidden="false" customHeight="true" outlineLevel="0" collapsed="false">
      <c r="A5" s="12" t="s">
        <v>78</v>
      </c>
      <c r="B5" s="12" t="s">
        <v>79</v>
      </c>
      <c r="C5" s="12" t="s">
        <v>479</v>
      </c>
      <c r="D5" s="12" t="s">
        <v>480</v>
      </c>
      <c r="E5" s="12" t="s">
        <v>481</v>
      </c>
      <c r="F5" s="12" t="s">
        <v>482</v>
      </c>
      <c r="G5" s="12" t="s">
        <v>483</v>
      </c>
      <c r="H5" s="12" t="s">
        <v>484</v>
      </c>
      <c r="J5" s="12" t="s">
        <v>485</v>
      </c>
      <c r="K5" s="12" t="s">
        <v>15</v>
      </c>
      <c r="L5" s="12" t="s">
        <v>16</v>
      </c>
      <c r="M5" s="12" t="s">
        <v>486</v>
      </c>
    </row>
    <row r="6" customFormat="false" ht="15" hidden="false" customHeight="false" outlineLevel="0" collapsed="false">
      <c r="A6" s="8" t="s">
        <v>83</v>
      </c>
      <c r="B6" s="31" t="n">
        <f aca="false">Inputs!J5</f>
        <v>31</v>
      </c>
      <c r="C6" s="8" t="str">
        <f aca="false">IF(Inputs!K5=1,"Hot","Cool")</f>
        <v>Cool</v>
      </c>
      <c r="D6" s="32" t="n">
        <f aca="false">IF(Inputs!K5=1,AC_SPEND_HOT,AC_SPEND_COOL)</f>
        <v>50</v>
      </c>
      <c r="E6" s="33" t="n">
        <f aca="false">D6/TARIFF</f>
        <v>35.5618776671408</v>
      </c>
      <c r="F6" s="34" t="n">
        <f aca="false">B6*IF(Inputs!K5=1,AC_H_HOT,AC_H_COOL)</f>
        <v>124</v>
      </c>
      <c r="G6" s="33" t="n">
        <f aca="false">F6*AC_LABEL_KWH/LABEL_HOURS</f>
        <v>37.4066666666667</v>
      </c>
      <c r="H6" s="33" t="n">
        <f aca="false">AC_SPEND_STATED/TARIFF</f>
        <v>85.348506401138</v>
      </c>
      <c r="J6" s="21" t="s">
        <v>487</v>
      </c>
      <c r="K6" s="35" t="n">
        <f aca="false">AC_LABEL_KWH/LABEL_HOURS</f>
        <v>0.301666666666667</v>
      </c>
      <c r="L6" s="8" t="s">
        <v>207</v>
      </c>
      <c r="M6" s="21" t="s">
        <v>488</v>
      </c>
    </row>
    <row r="7" customFormat="false" ht="15" hidden="false" customHeight="false" outlineLevel="0" collapsed="false">
      <c r="A7" s="8" t="s">
        <v>90</v>
      </c>
      <c r="B7" s="31" t="n">
        <f aca="false">Inputs!J6</f>
        <v>28</v>
      </c>
      <c r="C7" s="8" t="str">
        <f aca="false">IF(Inputs!K6=1,"Hot","Cool")</f>
        <v>Cool</v>
      </c>
      <c r="D7" s="32" t="n">
        <f aca="false">IF(Inputs!K6=1,AC_SPEND_HOT,AC_SPEND_COOL)</f>
        <v>50</v>
      </c>
      <c r="E7" s="33" t="n">
        <f aca="false">D7/TARIFF</f>
        <v>35.5618776671408</v>
      </c>
      <c r="F7" s="34" t="n">
        <f aca="false">B7*IF(Inputs!K6=1,AC_H_HOT,AC_H_COOL)</f>
        <v>112</v>
      </c>
      <c r="G7" s="33" t="n">
        <f aca="false">F7*AC_LABEL_KWH/LABEL_HOURS</f>
        <v>33.7866666666667</v>
      </c>
      <c r="H7" s="33" t="n">
        <f aca="false">AC_SPEND_STATED/TARIFF</f>
        <v>85.348506401138</v>
      </c>
      <c r="J7" s="21" t="s">
        <v>489</v>
      </c>
      <c r="K7" s="35" t="n">
        <f aca="false">AC_RATED_KW</f>
        <v>1.192</v>
      </c>
      <c r="L7" s="8" t="s">
        <v>207</v>
      </c>
      <c r="M7" s="21" t="s">
        <v>490</v>
      </c>
    </row>
    <row r="8" customFormat="false" ht="15" hidden="false" customHeight="false" outlineLevel="0" collapsed="false">
      <c r="A8" s="8" t="s">
        <v>94</v>
      </c>
      <c r="B8" s="31" t="n">
        <f aca="false">Inputs!J7</f>
        <v>31</v>
      </c>
      <c r="C8" s="8" t="str">
        <f aca="false">IF(Inputs!K7=1,"Hot","Cool")</f>
        <v>Cool</v>
      </c>
      <c r="D8" s="32" t="n">
        <f aca="false">IF(Inputs!K7=1,AC_SPEND_HOT,AC_SPEND_COOL)</f>
        <v>50</v>
      </c>
      <c r="E8" s="33" t="n">
        <f aca="false">D8/TARIFF</f>
        <v>35.5618776671408</v>
      </c>
      <c r="F8" s="34" t="n">
        <f aca="false">B8*IF(Inputs!K7=1,AC_H_HOT,AC_H_COOL)</f>
        <v>124</v>
      </c>
      <c r="G8" s="33" t="n">
        <f aca="false">F8*AC_LABEL_KWH/LABEL_HOURS</f>
        <v>37.4066666666667</v>
      </c>
      <c r="H8" s="33" t="n">
        <f aca="false">AC_SPEND_STATED/TARIFF</f>
        <v>85.348506401138</v>
      </c>
      <c r="J8" s="21" t="s">
        <v>491</v>
      </c>
      <c r="K8" s="34" t="n">
        <f aca="false">F18</f>
        <v>2932</v>
      </c>
      <c r="L8" s="8" t="s">
        <v>222</v>
      </c>
      <c r="M8" s="21" t="s">
        <v>492</v>
      </c>
    </row>
    <row r="9" customFormat="false" ht="15" hidden="false" customHeight="false" outlineLevel="0" collapsed="false">
      <c r="A9" s="8" t="s">
        <v>98</v>
      </c>
      <c r="B9" s="31" t="n">
        <f aca="false">Inputs!J8</f>
        <v>30</v>
      </c>
      <c r="C9" s="8" t="str">
        <f aca="false">IF(Inputs!K8=1,"Hot","Cool")</f>
        <v>Cool</v>
      </c>
      <c r="D9" s="32" t="n">
        <f aca="false">IF(Inputs!K8=1,AC_SPEND_HOT,AC_SPEND_COOL)</f>
        <v>50</v>
      </c>
      <c r="E9" s="33" t="n">
        <f aca="false">D9/TARIFF</f>
        <v>35.5618776671408</v>
      </c>
      <c r="F9" s="34" t="n">
        <f aca="false">B9*IF(Inputs!K8=1,AC_H_HOT,AC_H_COOL)</f>
        <v>120</v>
      </c>
      <c r="G9" s="33" t="n">
        <f aca="false">F9*AC_LABEL_KWH/LABEL_HOURS</f>
        <v>36.2</v>
      </c>
      <c r="H9" s="33" t="n">
        <f aca="false">AC_SPEND_STATED/TARIFF</f>
        <v>85.348506401138</v>
      </c>
      <c r="J9" s="21" t="s">
        <v>493</v>
      </c>
      <c r="K9" s="15" t="n">
        <f aca="false">E18</f>
        <v>810.810810810811</v>
      </c>
      <c r="L9" s="8" t="s">
        <v>19</v>
      </c>
      <c r="M9" s="21" t="s">
        <v>494</v>
      </c>
    </row>
    <row r="10" customFormat="false" ht="15" hidden="false" customHeight="false" outlineLevel="0" collapsed="false">
      <c r="A10" s="8" t="s">
        <v>103</v>
      </c>
      <c r="B10" s="31" t="n">
        <f aca="false">Inputs!J9</f>
        <v>31</v>
      </c>
      <c r="C10" s="8" t="str">
        <f aca="false">IF(Inputs!K9=1,"Hot","Cool")</f>
        <v>Hot</v>
      </c>
      <c r="D10" s="32" t="n">
        <f aca="false">IF(Inputs!K9=1,AC_SPEND_HOT,AC_SPEND_COOL)</f>
        <v>140</v>
      </c>
      <c r="E10" s="33" t="n">
        <f aca="false">D10/TARIFF</f>
        <v>99.5732574679943</v>
      </c>
      <c r="F10" s="34" t="n">
        <f aca="false">B10*IF(Inputs!K9=1,AC_H_HOT,AC_H_COOL)</f>
        <v>372</v>
      </c>
      <c r="G10" s="33" t="n">
        <f aca="false">F10*AC_LABEL_KWH/LABEL_HOURS</f>
        <v>112.22</v>
      </c>
      <c r="H10" s="33" t="n">
        <f aca="false">AC_SPEND_STATED/TARIFF</f>
        <v>85.348506401138</v>
      </c>
      <c r="J10" s="21" t="s">
        <v>495</v>
      </c>
      <c r="K10" s="33" t="n">
        <f aca="false">G18</f>
        <v>884.486666666667</v>
      </c>
      <c r="L10" s="8" t="s">
        <v>19</v>
      </c>
      <c r="M10" s="21" t="s">
        <v>496</v>
      </c>
    </row>
    <row r="11" customFormat="false" ht="15" hidden="false" customHeight="false" outlineLevel="0" collapsed="false">
      <c r="A11" s="8" t="s">
        <v>107</v>
      </c>
      <c r="B11" s="31" t="n">
        <f aca="false">Inputs!J10</f>
        <v>30</v>
      </c>
      <c r="C11" s="8" t="str">
        <f aca="false">IF(Inputs!K10=1,"Hot","Cool")</f>
        <v>Hot</v>
      </c>
      <c r="D11" s="32" t="n">
        <f aca="false">IF(Inputs!K10=1,AC_SPEND_HOT,AC_SPEND_COOL)</f>
        <v>140</v>
      </c>
      <c r="E11" s="33" t="n">
        <f aca="false">D11/TARIFF</f>
        <v>99.5732574679943</v>
      </c>
      <c r="F11" s="34" t="n">
        <f aca="false">B11*IF(Inputs!K10=1,AC_H_HOT,AC_H_COOL)</f>
        <v>360</v>
      </c>
      <c r="G11" s="33" t="n">
        <f aca="false">F11*AC_LABEL_KWH/LABEL_HOURS</f>
        <v>108.6</v>
      </c>
      <c r="H11" s="33" t="n">
        <f aca="false">AC_SPEND_STATED/TARIFF</f>
        <v>85.348506401138</v>
      </c>
      <c r="J11" s="21" t="s">
        <v>497</v>
      </c>
      <c r="K11" s="36" t="n">
        <f aca="false">K10/K9-1</f>
        <v>0.0908668888888888</v>
      </c>
      <c r="L11" s="8" t="s">
        <v>46</v>
      </c>
      <c r="M11" s="21" t="s">
        <v>498</v>
      </c>
    </row>
    <row r="12" customFormat="false" ht="23.85" hidden="false" customHeight="false" outlineLevel="0" collapsed="false">
      <c r="A12" s="8" t="s">
        <v>110</v>
      </c>
      <c r="B12" s="31" t="n">
        <f aca="false">Inputs!J11</f>
        <v>31</v>
      </c>
      <c r="C12" s="8" t="str">
        <f aca="false">IF(Inputs!K11=1,"Hot","Cool")</f>
        <v>Hot</v>
      </c>
      <c r="D12" s="32" t="n">
        <f aca="false">IF(Inputs!K11=1,AC_SPEND_HOT,AC_SPEND_COOL)</f>
        <v>140</v>
      </c>
      <c r="E12" s="33" t="n">
        <f aca="false">D12/TARIFF</f>
        <v>99.5732574679943</v>
      </c>
      <c r="F12" s="34" t="n">
        <f aca="false">B12*IF(Inputs!K11=1,AC_H_HOT,AC_H_COOL)</f>
        <v>372</v>
      </c>
      <c r="G12" s="33" t="n">
        <f aca="false">F12*AC_LABEL_KWH/LABEL_HOURS</f>
        <v>112.22</v>
      </c>
      <c r="H12" s="33" t="n">
        <f aca="false">AC_SPEND_STATED/TARIFF</f>
        <v>85.348506401138</v>
      </c>
      <c r="J12" s="21" t="s">
        <v>499</v>
      </c>
      <c r="K12" s="33" t="n">
        <f aca="false">H18</f>
        <v>1024.18207681366</v>
      </c>
      <c r="L12" s="8" t="s">
        <v>19</v>
      </c>
      <c r="M12" s="21" t="s">
        <v>500</v>
      </c>
    </row>
    <row r="13" customFormat="false" ht="15" hidden="false" customHeight="false" outlineLevel="0" collapsed="false">
      <c r="A13" s="8" t="s">
        <v>115</v>
      </c>
      <c r="B13" s="31" t="n">
        <f aca="false">Inputs!J12</f>
        <v>31</v>
      </c>
      <c r="C13" s="8" t="str">
        <f aca="false">IF(Inputs!K12=1,"Hot","Cool")</f>
        <v>Hot</v>
      </c>
      <c r="D13" s="32" t="n">
        <f aca="false">IF(Inputs!K12=1,AC_SPEND_HOT,AC_SPEND_COOL)</f>
        <v>140</v>
      </c>
      <c r="E13" s="33" t="n">
        <f aca="false">D13/TARIFF</f>
        <v>99.5732574679943</v>
      </c>
      <c r="F13" s="34" t="n">
        <f aca="false">B13*IF(Inputs!K12=1,AC_H_HOT,AC_H_COOL)</f>
        <v>372</v>
      </c>
      <c r="G13" s="33" t="n">
        <f aca="false">F13*AC_LABEL_KWH/LABEL_HOURS</f>
        <v>112.22</v>
      </c>
      <c r="H13" s="33" t="n">
        <f aca="false">AC_SPEND_STATED/TARIFF</f>
        <v>85.348506401138</v>
      </c>
      <c r="J13" s="21" t="s">
        <v>501</v>
      </c>
      <c r="K13" s="37" t="n">
        <f aca="false">D18/G18</f>
        <v>1.28888319401838</v>
      </c>
      <c r="L13" s="8" t="s">
        <v>142</v>
      </c>
      <c r="M13" s="21" t="s">
        <v>502</v>
      </c>
    </row>
    <row r="14" customFormat="false" ht="15" hidden="false" customHeight="false" outlineLevel="0" collapsed="false">
      <c r="A14" s="8" t="s">
        <v>121</v>
      </c>
      <c r="B14" s="31" t="n">
        <f aca="false">Inputs!J13</f>
        <v>30</v>
      </c>
      <c r="C14" s="8" t="str">
        <f aca="false">IF(Inputs!K13=1,"Hot","Cool")</f>
        <v>Hot</v>
      </c>
      <c r="D14" s="32" t="n">
        <f aca="false">IF(Inputs!K13=1,AC_SPEND_HOT,AC_SPEND_COOL)</f>
        <v>140</v>
      </c>
      <c r="E14" s="33" t="n">
        <f aca="false">D14/TARIFF</f>
        <v>99.5732574679943</v>
      </c>
      <c r="F14" s="34" t="n">
        <f aca="false">B14*IF(Inputs!K13=1,AC_H_HOT,AC_H_COOL)</f>
        <v>360</v>
      </c>
      <c r="G14" s="33" t="n">
        <f aca="false">F14*AC_LABEL_KWH/LABEL_HOURS</f>
        <v>108.6</v>
      </c>
      <c r="H14" s="33" t="n">
        <f aca="false">AC_SPEND_STATED/TARIFF</f>
        <v>85.348506401138</v>
      </c>
      <c r="J14" s="21" t="s">
        <v>503</v>
      </c>
      <c r="K14" s="35" t="n">
        <f aca="false">E18/F18</f>
        <v>0.276538475719922</v>
      </c>
      <c r="L14" s="8" t="s">
        <v>207</v>
      </c>
      <c r="M14" s="21" t="s">
        <v>504</v>
      </c>
    </row>
    <row r="15" customFormat="false" ht="15" hidden="false" customHeight="false" outlineLevel="0" collapsed="false">
      <c r="A15" s="8" t="s">
        <v>125</v>
      </c>
      <c r="B15" s="31" t="n">
        <f aca="false">Inputs!J14</f>
        <v>31</v>
      </c>
      <c r="C15" s="8" t="str">
        <f aca="false">IF(Inputs!K14=1,"Hot","Cool")</f>
        <v>Hot</v>
      </c>
      <c r="D15" s="32" t="n">
        <f aca="false">IF(Inputs!K14=1,AC_SPEND_HOT,AC_SPEND_COOL)</f>
        <v>140</v>
      </c>
      <c r="E15" s="33" t="n">
        <f aca="false">D15/TARIFF</f>
        <v>99.5732574679943</v>
      </c>
      <c r="F15" s="34" t="n">
        <f aca="false">B15*IF(Inputs!K14=1,AC_H_HOT,AC_H_COOL)</f>
        <v>372</v>
      </c>
      <c r="G15" s="33" t="n">
        <f aca="false">F15*AC_LABEL_KWH/LABEL_HOURS</f>
        <v>112.22</v>
      </c>
      <c r="H15" s="33" t="n">
        <f aca="false">AC_SPEND_STATED/TARIFF</f>
        <v>85.348506401138</v>
      </c>
      <c r="J15" s="21" t="s">
        <v>505</v>
      </c>
      <c r="K15" s="34" t="n">
        <f aca="false">E18/AC_RATED_KW</f>
        <v>680.210411754036</v>
      </c>
      <c r="L15" s="8" t="s">
        <v>222</v>
      </c>
      <c r="M15" s="21"/>
    </row>
    <row r="16" customFormat="false" ht="15" hidden="false" customHeight="false" outlineLevel="0" collapsed="false">
      <c r="A16" s="8" t="s">
        <v>132</v>
      </c>
      <c r="B16" s="31" t="n">
        <f aca="false">Inputs!J15</f>
        <v>30</v>
      </c>
      <c r="C16" s="8" t="str">
        <f aca="false">IF(Inputs!K15=1,"Hot","Cool")</f>
        <v>Cool</v>
      </c>
      <c r="D16" s="32" t="n">
        <f aca="false">IF(Inputs!K15=1,AC_SPEND_HOT,AC_SPEND_COOL)</f>
        <v>50</v>
      </c>
      <c r="E16" s="33" t="n">
        <f aca="false">D16/TARIFF</f>
        <v>35.5618776671408</v>
      </c>
      <c r="F16" s="34" t="n">
        <f aca="false">B16*IF(Inputs!K15=1,AC_H_HOT,AC_H_COOL)</f>
        <v>120</v>
      </c>
      <c r="G16" s="33" t="n">
        <f aca="false">F16*AC_LABEL_KWH/LABEL_HOURS</f>
        <v>36.2</v>
      </c>
      <c r="H16" s="33" t="n">
        <f aca="false">AC_SPEND_STATED/TARIFF</f>
        <v>85.348506401138</v>
      </c>
      <c r="J16" s="21" t="s">
        <v>506</v>
      </c>
      <c r="K16" s="33" t="n">
        <f aca="false">SUMIF(C6:C17,"Hot",E6:E17)</f>
        <v>597.439544807966</v>
      </c>
      <c r="L16" s="8" t="s">
        <v>19</v>
      </c>
      <c r="M16" s="21"/>
    </row>
    <row r="17" customFormat="false" ht="15" hidden="false" customHeight="false" outlineLevel="0" collapsed="false">
      <c r="A17" s="8" t="s">
        <v>137</v>
      </c>
      <c r="B17" s="31" t="n">
        <f aca="false">Inputs!J16</f>
        <v>31</v>
      </c>
      <c r="C17" s="8" t="str">
        <f aca="false">IF(Inputs!K16=1,"Hot","Cool")</f>
        <v>Cool</v>
      </c>
      <c r="D17" s="32" t="n">
        <f aca="false">IF(Inputs!K16=1,AC_SPEND_HOT,AC_SPEND_COOL)</f>
        <v>50</v>
      </c>
      <c r="E17" s="33" t="n">
        <f aca="false">D17/TARIFF</f>
        <v>35.5618776671408</v>
      </c>
      <c r="F17" s="34" t="n">
        <f aca="false">B17*IF(Inputs!K16=1,AC_H_HOT,AC_H_COOL)</f>
        <v>124</v>
      </c>
      <c r="G17" s="33" t="n">
        <f aca="false">F17*AC_LABEL_KWH/LABEL_HOURS</f>
        <v>37.4066666666667</v>
      </c>
      <c r="H17" s="33" t="n">
        <f aca="false">AC_SPEND_STATED/TARIFF</f>
        <v>85.348506401138</v>
      </c>
      <c r="J17" s="21" t="s">
        <v>507</v>
      </c>
      <c r="K17" s="36" t="n">
        <f aca="false">K16/K9</f>
        <v>0.736842105263158</v>
      </c>
      <c r="L17" s="8" t="s">
        <v>46</v>
      </c>
      <c r="M17" s="21"/>
    </row>
    <row r="18" customFormat="false" ht="15" hidden="false" customHeight="false" outlineLevel="0" collapsed="false">
      <c r="A18" s="38" t="s">
        <v>139</v>
      </c>
      <c r="B18" s="39" t="n">
        <f aca="false">SUM(B6:B17)</f>
        <v>365</v>
      </c>
      <c r="C18" s="40"/>
      <c r="D18" s="41" t="n">
        <f aca="false">SUM(D6:D17)</f>
        <v>1140</v>
      </c>
      <c r="E18" s="42" t="n">
        <f aca="false">SUM(E6:E17)</f>
        <v>810.810810810811</v>
      </c>
      <c r="F18" s="39" t="n">
        <f aca="false">SUM(F6:F17)</f>
        <v>2932</v>
      </c>
      <c r="G18" s="42" t="n">
        <f aca="false">SUM(G6:G17)</f>
        <v>884.486666666667</v>
      </c>
      <c r="H18" s="42" t="n">
        <f aca="false">SUM(H6:H17)</f>
        <v>1024.18207681366</v>
      </c>
      <c r="J18" s="21" t="s">
        <v>508</v>
      </c>
      <c r="K18" s="33" t="n">
        <f aca="false">K9-K16</f>
        <v>213.371266002845</v>
      </c>
      <c r="L18" s="8" t="s">
        <v>19</v>
      </c>
      <c r="M18" s="21"/>
    </row>
    <row r="19" customFormat="false" ht="15" hidden="false" customHeight="false" outlineLevel="0" collapsed="false">
      <c r="J19" s="21" t="s">
        <v>509</v>
      </c>
      <c r="K19" s="32" t="n">
        <f aca="false">D18</f>
        <v>1140</v>
      </c>
      <c r="L19" s="8" t="s">
        <v>510</v>
      </c>
      <c r="M19" s="21" t="s">
        <v>511</v>
      </c>
    </row>
    <row r="20" customFormat="false" ht="23.85" hidden="false" customHeight="false" outlineLevel="0" collapsed="false">
      <c r="J20" s="21" t="s">
        <v>512</v>
      </c>
      <c r="K20" s="34" t="n">
        <f aca="false">K9*AC_CSPF</f>
        <v>3779.83783783784</v>
      </c>
      <c r="L20" s="8" t="s">
        <v>513</v>
      </c>
      <c r="M20" s="21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8" min="6" style="0" width="14"/>
    <col collapsed="false" customWidth="true" hidden="false" outlineLevel="0" max="9" min="9" style="0" width="3"/>
    <col collapsed="false" customWidth="true" hidden="false" outlineLevel="0" max="10" min="10" style="0" width="38"/>
    <col collapsed="false" customWidth="true" hidden="false" outlineLevel="0" max="11" min="11" style="0" width="10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" t="s">
        <v>515</v>
      </c>
    </row>
    <row r="2" customFormat="false" ht="15" hidden="false" customHeight="false" outlineLevel="0" collapsed="false">
      <c r="A2" s="2" t="s">
        <v>516</v>
      </c>
    </row>
    <row r="5" customFormat="false" ht="45" hidden="false" customHeight="true" outlineLevel="0" collapsed="false">
      <c r="A5" s="12" t="s">
        <v>78</v>
      </c>
      <c r="B5" s="12" t="s">
        <v>79</v>
      </c>
      <c r="C5" s="12" t="s">
        <v>517</v>
      </c>
      <c r="D5" s="12" t="s">
        <v>518</v>
      </c>
      <c r="E5" s="12" t="s">
        <v>519</v>
      </c>
      <c r="F5" s="12" t="s">
        <v>520</v>
      </c>
      <c r="G5" s="12" t="s">
        <v>521</v>
      </c>
      <c r="H5" s="12" t="s">
        <v>522</v>
      </c>
      <c r="J5" s="12" t="s">
        <v>523</v>
      </c>
      <c r="K5" s="12" t="s">
        <v>15</v>
      </c>
      <c r="L5" s="12" t="s">
        <v>16</v>
      </c>
    </row>
    <row r="6" customFormat="false" ht="15" hidden="false" customHeight="false" outlineLevel="0" collapsed="false">
      <c r="A6" s="8" t="s">
        <v>83</v>
      </c>
      <c r="B6" s="31" t="n">
        <f aca="false">Inputs!J5</f>
        <v>31</v>
      </c>
      <c r="C6" s="43" t="n">
        <f aca="false">Inputs!L5</f>
        <v>16.5</v>
      </c>
      <c r="D6" s="44" t="n">
        <f aca="false">SHOWER_T-C6</f>
        <v>23.5</v>
      </c>
      <c r="E6" s="34" t="n">
        <f aca="false">SHOWERS*SHOWER_MIN*SHOWER_FLOW</f>
        <v>45</v>
      </c>
      <c r="F6" s="35" t="n">
        <f aca="false">E6*CP_WATER*D6/3600/HEATER_EFF</f>
        <v>1.24205808080808</v>
      </c>
      <c r="G6" s="33" t="n">
        <f aca="false">F6*B6*OCC</f>
        <v>77.007601010101</v>
      </c>
      <c r="H6" s="44" t="n">
        <f aca="false">SHOWER_FLOW/60*CP_WATER*D6/HEATER_EFF</f>
        <v>14.904696969697</v>
      </c>
      <c r="J6" s="21" t="s">
        <v>524</v>
      </c>
      <c r="K6" s="44" t="n">
        <f aca="false">HEATER_KW</f>
        <v>24.4</v>
      </c>
      <c r="L6" s="8" t="s">
        <v>207</v>
      </c>
    </row>
    <row r="7" customFormat="false" ht="15" hidden="false" customHeight="false" outlineLevel="0" collapsed="false">
      <c r="A7" s="8" t="s">
        <v>90</v>
      </c>
      <c r="B7" s="31" t="n">
        <f aca="false">Inputs!J6</f>
        <v>28</v>
      </c>
      <c r="C7" s="43" t="n">
        <f aca="false">Inputs!L6</f>
        <v>17.1</v>
      </c>
      <c r="D7" s="44" t="n">
        <f aca="false">SHOWER_T-C7</f>
        <v>22.9</v>
      </c>
      <c r="E7" s="34" t="n">
        <f aca="false">SHOWERS*SHOWER_MIN*SHOWER_FLOW</f>
        <v>45</v>
      </c>
      <c r="F7" s="35" t="n">
        <f aca="false">E7*CP_WATER*D7/3600/HEATER_EFF</f>
        <v>1.21034595959596</v>
      </c>
      <c r="G7" s="33" t="n">
        <f aca="false">F7*B7*OCC</f>
        <v>67.7793737373737</v>
      </c>
      <c r="H7" s="44" t="n">
        <f aca="false">SHOWER_FLOW/60*CP_WATER*D7/HEATER_EFF</f>
        <v>14.5241515151515</v>
      </c>
      <c r="J7" s="21" t="s">
        <v>525</v>
      </c>
      <c r="K7" s="44" t="n">
        <f aca="false">H18</f>
        <v>14.904696969697</v>
      </c>
      <c r="L7" s="8" t="s">
        <v>207</v>
      </c>
    </row>
    <row r="8" customFormat="false" ht="15" hidden="false" customHeight="false" outlineLevel="0" collapsed="false">
      <c r="A8" s="8" t="s">
        <v>94</v>
      </c>
      <c r="B8" s="31" t="n">
        <f aca="false">Inputs!J7</f>
        <v>31</v>
      </c>
      <c r="C8" s="43" t="n">
        <f aca="false">Inputs!L7</f>
        <v>19.4</v>
      </c>
      <c r="D8" s="44" t="n">
        <f aca="false">SHOWER_T-C8</f>
        <v>20.6</v>
      </c>
      <c r="E8" s="34" t="n">
        <f aca="false">SHOWERS*SHOWER_MIN*SHOWER_FLOW</f>
        <v>45</v>
      </c>
      <c r="F8" s="35" t="n">
        <f aca="false">E8*CP_WATER*D8/3600/HEATER_EFF</f>
        <v>1.08878282828283</v>
      </c>
      <c r="G8" s="33" t="n">
        <f aca="false">F8*B8*OCC</f>
        <v>67.5045353535354</v>
      </c>
      <c r="H8" s="44" t="n">
        <f aca="false">SHOWER_FLOW/60*CP_WATER*D8/HEATER_EFF</f>
        <v>13.0653939393939</v>
      </c>
      <c r="J8" s="21" t="s">
        <v>526</v>
      </c>
      <c r="K8" s="37" t="n">
        <f aca="false">K6/K7</f>
        <v>1.63706783503268</v>
      </c>
      <c r="L8" s="8" t="s">
        <v>527</v>
      </c>
    </row>
    <row r="9" customFormat="false" ht="15" hidden="false" customHeight="false" outlineLevel="0" collapsed="false">
      <c r="A9" s="8" t="s">
        <v>98</v>
      </c>
      <c r="B9" s="31" t="n">
        <f aca="false">Inputs!J8</f>
        <v>30</v>
      </c>
      <c r="C9" s="43" t="n">
        <f aca="false">Inputs!L8</f>
        <v>23</v>
      </c>
      <c r="D9" s="44" t="n">
        <f aca="false">SHOWER_T-C9</f>
        <v>17</v>
      </c>
      <c r="E9" s="34" t="n">
        <f aca="false">SHOWERS*SHOWER_MIN*SHOWER_FLOW</f>
        <v>45</v>
      </c>
      <c r="F9" s="35" t="n">
        <f aca="false">E9*CP_WATER*D9/3600/HEATER_EFF</f>
        <v>0.898510101010101</v>
      </c>
      <c r="G9" s="33" t="n">
        <f aca="false">F9*B9*OCC</f>
        <v>53.9106060606061</v>
      </c>
      <c r="H9" s="44" t="n">
        <f aca="false">SHOWER_FLOW/60*CP_WATER*D9/HEATER_EFF</f>
        <v>10.7821212121212</v>
      </c>
      <c r="J9" s="21" t="s">
        <v>528</v>
      </c>
      <c r="K9" s="33" t="n">
        <f aca="false">G18</f>
        <v>634.718106060606</v>
      </c>
      <c r="L9" s="8" t="s">
        <v>19</v>
      </c>
    </row>
    <row r="10" customFormat="false" ht="15" hidden="false" customHeight="false" outlineLevel="0" collapsed="false">
      <c r="A10" s="8" t="s">
        <v>103</v>
      </c>
      <c r="B10" s="31" t="n">
        <f aca="false">Inputs!J9</f>
        <v>31</v>
      </c>
      <c r="C10" s="43" t="n">
        <f aca="false">Inputs!L9</f>
        <v>26.3</v>
      </c>
      <c r="D10" s="44" t="n">
        <f aca="false">SHOWER_T-C10</f>
        <v>13.7</v>
      </c>
      <c r="E10" s="34" t="n">
        <f aca="false">SHOWERS*SHOWER_MIN*SHOWER_FLOW</f>
        <v>45</v>
      </c>
      <c r="F10" s="35" t="n">
        <f aca="false">E10*CP_WATER*D10/3600/HEATER_EFF</f>
        <v>0.724093434343434</v>
      </c>
      <c r="G10" s="33" t="n">
        <f aca="false">F10*B10*OCC</f>
        <v>44.8937929292929</v>
      </c>
      <c r="H10" s="44" t="n">
        <f aca="false">SHOWER_FLOW/60*CP_WATER*D10/HEATER_EFF</f>
        <v>8.68912121212121</v>
      </c>
      <c r="J10" s="21" t="s">
        <v>529</v>
      </c>
      <c r="K10" s="33" t="n">
        <f aca="false">G18/OCC</f>
        <v>317.359053030303</v>
      </c>
      <c r="L10" s="8" t="s">
        <v>19</v>
      </c>
    </row>
    <row r="11" customFormat="false" ht="15" hidden="false" customHeight="false" outlineLevel="0" collapsed="false">
      <c r="A11" s="8" t="s">
        <v>107</v>
      </c>
      <c r="B11" s="31" t="n">
        <f aca="false">Inputs!J10</f>
        <v>30</v>
      </c>
      <c r="C11" s="43" t="n">
        <f aca="false">Inputs!L10</f>
        <v>28.3</v>
      </c>
      <c r="D11" s="44" t="n">
        <f aca="false">SHOWER_T-C11</f>
        <v>11.7</v>
      </c>
      <c r="E11" s="34" t="n">
        <f aca="false">SHOWERS*SHOWER_MIN*SHOWER_FLOW</f>
        <v>45</v>
      </c>
      <c r="F11" s="35" t="n">
        <f aca="false">E11*CP_WATER*D11/3600/HEATER_EFF</f>
        <v>0.618386363636364</v>
      </c>
      <c r="G11" s="33" t="n">
        <f aca="false">F11*B11*OCC</f>
        <v>37.1031818181818</v>
      </c>
      <c r="H11" s="44" t="n">
        <f aca="false">SHOWER_FLOW/60*CP_WATER*D11/HEATER_EFF</f>
        <v>7.42063636363636</v>
      </c>
      <c r="J11" s="21" t="s">
        <v>530</v>
      </c>
      <c r="K11" s="44" t="n">
        <f aca="false">E6*365/1000</f>
        <v>16.425</v>
      </c>
      <c r="L11" s="8" t="s">
        <v>531</v>
      </c>
    </row>
    <row r="12" customFormat="false" ht="15" hidden="false" customHeight="false" outlineLevel="0" collapsed="false">
      <c r="A12" s="8" t="s">
        <v>110</v>
      </c>
      <c r="B12" s="31" t="n">
        <f aca="false">Inputs!J11</f>
        <v>31</v>
      </c>
      <c r="C12" s="43" t="n">
        <f aca="false">Inputs!L11</f>
        <v>28.9</v>
      </c>
      <c r="D12" s="44" t="n">
        <f aca="false">SHOWER_T-C12</f>
        <v>11.1</v>
      </c>
      <c r="E12" s="34" t="n">
        <f aca="false">SHOWERS*SHOWER_MIN*SHOWER_FLOW</f>
        <v>45</v>
      </c>
      <c r="F12" s="35" t="n">
        <f aca="false">E12*CP_WATER*D12/3600/HEATER_EFF</f>
        <v>0.586674242424243</v>
      </c>
      <c r="G12" s="33" t="n">
        <f aca="false">F12*B12*OCC</f>
        <v>36.373803030303</v>
      </c>
      <c r="H12" s="44" t="n">
        <f aca="false">SHOWER_FLOW/60*CP_WATER*D12/HEATER_EFF</f>
        <v>7.04009090909091</v>
      </c>
      <c r="J12" s="21" t="s">
        <v>532</v>
      </c>
      <c r="K12" s="37" t="n">
        <f aca="false">F6/F12</f>
        <v>2.11711711711712</v>
      </c>
      <c r="L12" s="8" t="s">
        <v>527</v>
      </c>
    </row>
    <row r="13" customFormat="false" ht="15" hidden="false" customHeight="false" outlineLevel="0" collapsed="false">
      <c r="A13" s="8" t="s">
        <v>115</v>
      </c>
      <c r="B13" s="31" t="n">
        <f aca="false">Inputs!J12</f>
        <v>31</v>
      </c>
      <c r="C13" s="43" t="n">
        <f aca="false">Inputs!L12</f>
        <v>28.7</v>
      </c>
      <c r="D13" s="44" t="n">
        <f aca="false">SHOWER_T-C13</f>
        <v>11.3</v>
      </c>
      <c r="E13" s="34" t="n">
        <f aca="false">SHOWERS*SHOWER_MIN*SHOWER_FLOW</f>
        <v>45</v>
      </c>
      <c r="F13" s="35" t="n">
        <f aca="false">E13*CP_WATER*D13/3600/HEATER_EFF</f>
        <v>0.59724494949495</v>
      </c>
      <c r="G13" s="33" t="n">
        <f aca="false">F13*B13*OCC</f>
        <v>37.0291868686869</v>
      </c>
      <c r="H13" s="44" t="n">
        <f aca="false">SHOWER_FLOW/60*CP_WATER*D13/HEATER_EFF</f>
        <v>7.16693939393939</v>
      </c>
    </row>
    <row r="14" customFormat="false" ht="15" hidden="false" customHeight="false" outlineLevel="0" collapsed="false">
      <c r="A14" s="8" t="s">
        <v>121</v>
      </c>
      <c r="B14" s="31" t="n">
        <f aca="false">Inputs!J13</f>
        <v>30</v>
      </c>
      <c r="C14" s="43" t="n">
        <f aca="false">Inputs!L13</f>
        <v>27.9</v>
      </c>
      <c r="D14" s="44" t="n">
        <f aca="false">SHOWER_T-C14</f>
        <v>12.1</v>
      </c>
      <c r="E14" s="34" t="n">
        <f aca="false">SHOWERS*SHOWER_MIN*SHOWER_FLOW</f>
        <v>45</v>
      </c>
      <c r="F14" s="35" t="n">
        <f aca="false">E14*CP_WATER*D14/3600/HEATER_EFF</f>
        <v>0.639527777777778</v>
      </c>
      <c r="G14" s="33" t="n">
        <f aca="false">F14*B14*OCC</f>
        <v>38.3716666666667</v>
      </c>
      <c r="H14" s="44" t="n">
        <f aca="false">SHOWER_FLOW/60*CP_WATER*D14/HEATER_EFF</f>
        <v>7.67433333333334</v>
      </c>
    </row>
    <row r="15" customFormat="false" ht="15" hidden="false" customHeight="false" outlineLevel="0" collapsed="false">
      <c r="A15" s="8" t="s">
        <v>125</v>
      </c>
      <c r="B15" s="31" t="n">
        <f aca="false">Inputs!J14</f>
        <v>31</v>
      </c>
      <c r="C15" s="43" t="n">
        <f aca="false">Inputs!L14</f>
        <v>25.7</v>
      </c>
      <c r="D15" s="44" t="n">
        <f aca="false">SHOWER_T-C15</f>
        <v>14.3</v>
      </c>
      <c r="E15" s="34" t="n">
        <f aca="false">SHOWERS*SHOWER_MIN*SHOWER_FLOW</f>
        <v>45</v>
      </c>
      <c r="F15" s="35" t="n">
        <f aca="false">E15*CP_WATER*D15/3600/HEATER_EFF</f>
        <v>0.755805555555556</v>
      </c>
      <c r="G15" s="33" t="n">
        <f aca="false">F15*B15*OCC</f>
        <v>46.8599444444445</v>
      </c>
      <c r="H15" s="44" t="n">
        <f aca="false">SHOWER_FLOW/60*CP_WATER*D15/HEATER_EFF</f>
        <v>9.06966666666667</v>
      </c>
    </row>
    <row r="16" customFormat="false" ht="15" hidden="false" customHeight="false" outlineLevel="0" collapsed="false">
      <c r="A16" s="8" t="s">
        <v>132</v>
      </c>
      <c r="B16" s="31" t="n">
        <f aca="false">Inputs!J15</f>
        <v>30</v>
      </c>
      <c r="C16" s="43" t="n">
        <f aca="false">Inputs!L15</f>
        <v>22.2</v>
      </c>
      <c r="D16" s="44" t="n">
        <f aca="false">SHOWER_T-C16</f>
        <v>17.8</v>
      </c>
      <c r="E16" s="34" t="n">
        <f aca="false">SHOWERS*SHOWER_MIN*SHOWER_FLOW</f>
        <v>45</v>
      </c>
      <c r="F16" s="35" t="n">
        <f aca="false">E16*CP_WATER*D16/3600/HEATER_EFF</f>
        <v>0.94079292929293</v>
      </c>
      <c r="G16" s="33" t="n">
        <f aca="false">F16*B16*OCC</f>
        <v>56.4475757575758</v>
      </c>
      <c r="H16" s="44" t="n">
        <f aca="false">SHOWER_FLOW/60*CP_WATER*D16/HEATER_EFF</f>
        <v>11.2895151515152</v>
      </c>
    </row>
    <row r="17" customFormat="false" ht="15" hidden="false" customHeight="false" outlineLevel="0" collapsed="false">
      <c r="A17" s="8" t="s">
        <v>137</v>
      </c>
      <c r="B17" s="31" t="n">
        <f aca="false">Inputs!J16</f>
        <v>31</v>
      </c>
      <c r="C17" s="43" t="n">
        <f aca="false">Inputs!L16</f>
        <v>18.2</v>
      </c>
      <c r="D17" s="44" t="n">
        <f aca="false">SHOWER_T-C17</f>
        <v>21.8</v>
      </c>
      <c r="E17" s="34" t="n">
        <f aca="false">SHOWERS*SHOWER_MIN*SHOWER_FLOW</f>
        <v>45</v>
      </c>
      <c r="F17" s="35" t="n">
        <f aca="false">E17*CP_WATER*D17/3600/HEATER_EFF</f>
        <v>1.15220707070707</v>
      </c>
      <c r="G17" s="33" t="n">
        <f aca="false">F17*B17*OCC</f>
        <v>71.4368383838384</v>
      </c>
      <c r="H17" s="44" t="n">
        <f aca="false">SHOWER_FLOW/60*CP_WATER*D17/HEATER_EFF</f>
        <v>13.8264848484849</v>
      </c>
    </row>
    <row r="18" customFormat="false" ht="15" hidden="false" customHeight="false" outlineLevel="0" collapsed="false">
      <c r="A18" s="38" t="s">
        <v>139</v>
      </c>
      <c r="B18" s="39" t="n">
        <f aca="false">SUM(B6:B17)</f>
        <v>365</v>
      </c>
      <c r="C18" s="45" t="n">
        <f aca="false">SUMPRODUCT(B6:B17,C6:C17)/B18</f>
        <v>23.5493150684932</v>
      </c>
      <c r="D18" s="46" t="n">
        <f aca="false">SUMPRODUCT(B6:B17,D6:D17)/B18</f>
        <v>16.4506849315069</v>
      </c>
      <c r="E18" s="39" t="n">
        <f aca="false">E6</f>
        <v>45</v>
      </c>
      <c r="F18" s="47" t="n">
        <f aca="false">G18/B18/OCC</f>
        <v>0.869476857617269</v>
      </c>
      <c r="G18" s="42" t="n">
        <f aca="false">SUM(G6:G17)</f>
        <v>634.718106060606</v>
      </c>
      <c r="H18" s="45" t="n">
        <f aca="false">MAX(H6:H17)</f>
        <v>14.904696969697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3" min="12" style="0" width="15"/>
    <col collapsed="false" customWidth="true" hidden="false" outlineLevel="0" max="14" min="14" style="0" width="18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533</v>
      </c>
    </row>
    <row r="2" customFormat="false" ht="15" hidden="false" customHeight="false" outlineLevel="0" collapsed="false">
      <c r="A2" s="2" t="s">
        <v>534</v>
      </c>
    </row>
    <row r="6" customFormat="false" ht="45" hidden="false" customHeight="true" outlineLevel="0" collapsed="false">
      <c r="A6" s="12" t="s">
        <v>535</v>
      </c>
      <c r="B6" s="12" t="s">
        <v>536</v>
      </c>
      <c r="C6" s="12" t="s">
        <v>537</v>
      </c>
      <c r="D6" s="12" t="s">
        <v>538</v>
      </c>
      <c r="E6" s="12" t="s">
        <v>539</v>
      </c>
      <c r="F6" s="12" t="s">
        <v>540</v>
      </c>
      <c r="G6" s="12" t="s">
        <v>541</v>
      </c>
      <c r="H6" s="12" t="s">
        <v>542</v>
      </c>
      <c r="I6" s="12" t="s">
        <v>543</v>
      </c>
      <c r="J6" s="12" t="s">
        <v>544</v>
      </c>
      <c r="K6" s="12" t="s">
        <v>545</v>
      </c>
      <c r="L6" s="12" t="s">
        <v>546</v>
      </c>
      <c r="M6" s="12" t="s">
        <v>547</v>
      </c>
      <c r="N6" s="12" t="s">
        <v>75</v>
      </c>
      <c r="O6" s="12" t="s">
        <v>548</v>
      </c>
    </row>
    <row r="7" customFormat="false" ht="23.85" hidden="false" customHeight="false" outlineLevel="0" collapsed="false">
      <c r="A7" s="17" t="s">
        <v>549</v>
      </c>
      <c r="B7" s="8" t="s">
        <v>550</v>
      </c>
      <c r="C7" s="21" t="s">
        <v>551</v>
      </c>
      <c r="D7" s="21" t="s">
        <v>552</v>
      </c>
      <c r="E7" s="31" t="n">
        <f aca="false">AC_RATED_KW*1000</f>
        <v>1192</v>
      </c>
      <c r="F7" s="48" t="n">
        <v>1</v>
      </c>
      <c r="G7" s="21" t="s">
        <v>553</v>
      </c>
      <c r="H7" s="49" t="n">
        <f aca="false">AC_KWH</f>
        <v>810.810810810811</v>
      </c>
      <c r="I7" s="26" t="n">
        <v>1</v>
      </c>
      <c r="J7" s="33" t="n">
        <f aca="false">H7*I7</f>
        <v>810.810810810811</v>
      </c>
      <c r="K7" s="33" t="n">
        <f aca="false">J7/OCC</f>
        <v>405.405405405405</v>
      </c>
      <c r="L7" s="8" t="s">
        <v>554</v>
      </c>
      <c r="M7" s="8" t="s">
        <v>554</v>
      </c>
      <c r="N7" s="21" t="s">
        <v>555</v>
      </c>
      <c r="O7" s="8" t="s">
        <v>556</v>
      </c>
    </row>
    <row r="8" customFormat="false" ht="23.85" hidden="false" customHeight="false" outlineLevel="0" collapsed="false">
      <c r="A8" s="17" t="s">
        <v>557</v>
      </c>
      <c r="B8" s="8" t="s">
        <v>550</v>
      </c>
      <c r="C8" s="21" t="s">
        <v>247</v>
      </c>
      <c r="D8" s="21" t="s">
        <v>558</v>
      </c>
      <c r="E8" s="31" t="n">
        <f aca="false">CEIL_W</f>
        <v>20</v>
      </c>
      <c r="F8" s="50" t="n">
        <f aca="false">CEIL_N</f>
        <v>2</v>
      </c>
      <c r="G8" s="43" t="n">
        <f aca="false">CEIL_H</f>
        <v>6</v>
      </c>
      <c r="H8" s="33" t="n">
        <f aca="false">E8*F8*G8*365/1000</f>
        <v>87.6</v>
      </c>
      <c r="I8" s="26" t="n">
        <v>1</v>
      </c>
      <c r="J8" s="33" t="n">
        <f aca="false">H8*I8</f>
        <v>87.6</v>
      </c>
      <c r="K8" s="33" t="n">
        <f aca="false">J8/OCC</f>
        <v>43.8</v>
      </c>
      <c r="L8" s="8" t="s">
        <v>559</v>
      </c>
      <c r="M8" s="8" t="s">
        <v>559</v>
      </c>
      <c r="N8" s="21" t="s">
        <v>560</v>
      </c>
      <c r="O8" s="8" t="s">
        <v>561</v>
      </c>
    </row>
    <row r="9" customFormat="false" ht="15" hidden="false" customHeight="false" outlineLevel="0" collapsed="false">
      <c r="A9" s="17" t="s">
        <v>562</v>
      </c>
      <c r="B9" s="8" t="s">
        <v>550</v>
      </c>
      <c r="C9" s="21" t="s">
        <v>258</v>
      </c>
      <c r="D9" s="21" t="s">
        <v>563</v>
      </c>
      <c r="E9" s="31" t="n">
        <f aca="false">DESK_W</f>
        <v>10</v>
      </c>
      <c r="F9" s="50" t="n">
        <f aca="false">DESK_N</f>
        <v>2</v>
      </c>
      <c r="G9" s="43" t="n">
        <f aca="false">DESK_H</f>
        <v>4</v>
      </c>
      <c r="H9" s="33" t="n">
        <f aca="false">E9*F9*G9*365/1000</f>
        <v>29.2</v>
      </c>
      <c r="I9" s="26" t="n">
        <v>1</v>
      </c>
      <c r="J9" s="33" t="n">
        <f aca="false">H9*I9</f>
        <v>29.2</v>
      </c>
      <c r="K9" s="33" t="n">
        <f aca="false">J9/OCC</f>
        <v>14.6</v>
      </c>
      <c r="L9" s="8" t="s">
        <v>559</v>
      </c>
      <c r="M9" s="8" t="s">
        <v>559</v>
      </c>
      <c r="N9" s="21" t="s">
        <v>238</v>
      </c>
      <c r="O9" s="8" t="s">
        <v>564</v>
      </c>
    </row>
    <row r="10" customFormat="false" ht="23.85" hidden="false" customHeight="false" outlineLevel="0" collapsed="false">
      <c r="A10" s="17" t="s">
        <v>565</v>
      </c>
      <c r="B10" s="8" t="s">
        <v>550</v>
      </c>
      <c r="C10" s="21" t="s">
        <v>566</v>
      </c>
      <c r="D10" s="21" t="s">
        <v>567</v>
      </c>
      <c r="E10" s="31" t="n">
        <f aca="false">FAN_W</f>
        <v>20</v>
      </c>
      <c r="F10" s="48" t="n">
        <v>1</v>
      </c>
      <c r="G10" s="43" t="n">
        <f aca="false">FAN_H</f>
        <v>12</v>
      </c>
      <c r="H10" s="33" t="n">
        <f aca="false">E10*F10*G10*365/1000</f>
        <v>87.6</v>
      </c>
      <c r="I10" s="26" t="n">
        <v>1</v>
      </c>
      <c r="J10" s="33" t="n">
        <f aca="false">H10*I10</f>
        <v>87.6</v>
      </c>
      <c r="K10" s="33" t="n">
        <f aca="false">J10/OCC</f>
        <v>43.8</v>
      </c>
      <c r="L10" s="8" t="s">
        <v>568</v>
      </c>
      <c r="M10" s="8" t="s">
        <v>554</v>
      </c>
      <c r="N10" s="21" t="s">
        <v>569</v>
      </c>
      <c r="O10" s="8" t="s">
        <v>570</v>
      </c>
    </row>
    <row r="11" customFormat="false" ht="23.85" hidden="false" customHeight="false" outlineLevel="0" collapsed="false">
      <c r="A11" s="17" t="s">
        <v>571</v>
      </c>
      <c r="B11" s="8" t="s">
        <v>550</v>
      </c>
      <c r="C11" s="21" t="s">
        <v>572</v>
      </c>
      <c r="D11" s="21" t="s">
        <v>573</v>
      </c>
      <c r="E11" s="31" t="n">
        <f aca="false">LAPTOP_W*LAPTOP_LF</f>
        <v>32.5</v>
      </c>
      <c r="F11" s="50" t="n">
        <f aca="false">LAPTOP_N</f>
        <v>2</v>
      </c>
      <c r="G11" s="43" t="n">
        <f aca="false">LAPTOP_H</f>
        <v>8</v>
      </c>
      <c r="H11" s="33" t="n">
        <f aca="false">E11*F11*G11*365/1000</f>
        <v>189.8</v>
      </c>
      <c r="I11" s="26" t="n">
        <v>1</v>
      </c>
      <c r="J11" s="33" t="n">
        <f aca="false">H11*I11</f>
        <v>189.8</v>
      </c>
      <c r="K11" s="33" t="n">
        <f aca="false">J11/OCC</f>
        <v>94.9</v>
      </c>
      <c r="L11" s="8" t="s">
        <v>574</v>
      </c>
      <c r="M11" s="8" t="s">
        <v>575</v>
      </c>
      <c r="N11" s="21" t="s">
        <v>576</v>
      </c>
      <c r="O11" s="8" t="s">
        <v>577</v>
      </c>
    </row>
    <row r="12" customFormat="false" ht="23.85" hidden="false" customHeight="false" outlineLevel="0" collapsed="false">
      <c r="A12" s="17" t="s">
        <v>578</v>
      </c>
      <c r="B12" s="8" t="s">
        <v>550</v>
      </c>
      <c r="C12" s="21" t="s">
        <v>579</v>
      </c>
      <c r="D12" s="21" t="s">
        <v>580</v>
      </c>
      <c r="E12" s="31" t="n">
        <f aca="false">PHONE_W</f>
        <v>20</v>
      </c>
      <c r="F12" s="50" t="n">
        <f aca="false">PHONE_N</f>
        <v>2</v>
      </c>
      <c r="G12" s="43" t="n">
        <f aca="false">PHONE_H</f>
        <v>1</v>
      </c>
      <c r="H12" s="33" t="n">
        <f aca="false">E12*F12*G12*365/1000</f>
        <v>14.6</v>
      </c>
      <c r="I12" s="26" t="n">
        <v>1</v>
      </c>
      <c r="J12" s="33" t="n">
        <f aca="false">H12*I12</f>
        <v>14.6</v>
      </c>
      <c r="K12" s="33" t="n">
        <f aca="false">J12/OCC</f>
        <v>7.3</v>
      </c>
      <c r="L12" s="8" t="s">
        <v>574</v>
      </c>
      <c r="M12" s="8" t="s">
        <v>575</v>
      </c>
      <c r="N12" s="21" t="s">
        <v>560</v>
      </c>
      <c r="O12" s="8" t="s">
        <v>179</v>
      </c>
    </row>
    <row r="13" customFormat="false" ht="23.85" hidden="false" customHeight="false" outlineLevel="0" collapsed="false">
      <c r="A13" s="17" t="s">
        <v>581</v>
      </c>
      <c r="B13" s="8" t="s">
        <v>582</v>
      </c>
      <c r="C13" s="21" t="s">
        <v>583</v>
      </c>
      <c r="D13" s="21" t="s">
        <v>584</v>
      </c>
      <c r="E13" s="31" t="n">
        <f aca="false">HEATER_KW*1000</f>
        <v>24400</v>
      </c>
      <c r="F13" s="48" t="n">
        <v>1</v>
      </c>
      <c r="G13" s="21" t="s">
        <v>585</v>
      </c>
      <c r="H13" s="49" t="n">
        <f aca="false">HW_KWH</f>
        <v>634.718106060606</v>
      </c>
      <c r="I13" s="26" t="n">
        <v>1</v>
      </c>
      <c r="J13" s="33" t="n">
        <f aca="false">H13*I13</f>
        <v>634.718106060606</v>
      </c>
      <c r="K13" s="33" t="n">
        <f aca="false">J13/OCC</f>
        <v>317.359053030303</v>
      </c>
      <c r="L13" s="8" t="s">
        <v>586</v>
      </c>
      <c r="M13" s="8" t="s">
        <v>575</v>
      </c>
      <c r="N13" s="21" t="s">
        <v>587</v>
      </c>
      <c r="O13" s="8" t="s">
        <v>588</v>
      </c>
    </row>
    <row r="14" customFormat="false" ht="23.85" hidden="false" customHeight="false" outlineLevel="0" collapsed="false">
      <c r="A14" s="17" t="s">
        <v>589</v>
      </c>
      <c r="B14" s="8" t="s">
        <v>582</v>
      </c>
      <c r="C14" s="21" t="s">
        <v>590</v>
      </c>
      <c r="D14" s="21" t="s">
        <v>591</v>
      </c>
      <c r="E14" s="31" t="n">
        <f aca="false">WR_FAN_W</f>
        <v>30</v>
      </c>
      <c r="F14" s="48" t="n">
        <v>1</v>
      </c>
      <c r="G14" s="43" t="n">
        <f aca="false">WR_FAN_H</f>
        <v>24</v>
      </c>
      <c r="H14" s="33" t="n">
        <f aca="false">E14*F14*G14*365/1000</f>
        <v>262.8</v>
      </c>
      <c r="I14" s="51" t="n">
        <f aca="false">OCC/WR_USERS</f>
        <v>0.5</v>
      </c>
      <c r="J14" s="33" t="n">
        <f aca="false">H14*I14</f>
        <v>131.4</v>
      </c>
      <c r="K14" s="33" t="n">
        <f aca="false">J14/OCC</f>
        <v>65.7</v>
      </c>
      <c r="L14" s="8" t="s">
        <v>592</v>
      </c>
      <c r="M14" s="8" t="s">
        <v>554</v>
      </c>
      <c r="N14" s="21" t="s">
        <v>560</v>
      </c>
      <c r="O14" s="8" t="s">
        <v>593</v>
      </c>
    </row>
    <row r="15" customFormat="false" ht="23.85" hidden="false" customHeight="false" outlineLevel="0" collapsed="false">
      <c r="A15" s="17" t="s">
        <v>594</v>
      </c>
      <c r="B15" s="8" t="s">
        <v>582</v>
      </c>
      <c r="C15" s="21" t="s">
        <v>595</v>
      </c>
      <c r="D15" s="21" t="s">
        <v>596</v>
      </c>
      <c r="E15" s="31" t="n">
        <f aca="false">WR_LIGHT_W</f>
        <v>10</v>
      </c>
      <c r="F15" s="50" t="n">
        <f aca="false">WR_LIGHT_N</f>
        <v>3</v>
      </c>
      <c r="G15" s="43" t="n">
        <f aca="false">WR_LIGHT_H</f>
        <v>3</v>
      </c>
      <c r="H15" s="33" t="n">
        <f aca="false">E15*F15*G15*365/1000</f>
        <v>32.85</v>
      </c>
      <c r="I15" s="51" t="n">
        <f aca="false">OCC/WR_USERS</f>
        <v>0.5</v>
      </c>
      <c r="J15" s="33" t="n">
        <f aca="false">H15*I15</f>
        <v>16.425</v>
      </c>
      <c r="K15" s="33" t="n">
        <f aca="false">J15/OCC</f>
        <v>8.2125</v>
      </c>
      <c r="L15" s="8" t="s">
        <v>559</v>
      </c>
      <c r="M15" s="8" t="s">
        <v>559</v>
      </c>
      <c r="N15" s="21" t="s">
        <v>560</v>
      </c>
      <c r="O15" s="8" t="s">
        <v>597</v>
      </c>
    </row>
    <row r="16" customFormat="false" ht="23.85" hidden="false" customHeight="false" outlineLevel="0" collapsed="false">
      <c r="A16" s="17" t="s">
        <v>598</v>
      </c>
      <c r="B16" s="8" t="s">
        <v>599</v>
      </c>
      <c r="C16" s="21" t="s">
        <v>331</v>
      </c>
      <c r="D16" s="21" t="s">
        <v>600</v>
      </c>
      <c r="E16" s="18"/>
      <c r="F16" s="50" t="n">
        <f aca="false">FRIDGE_N</f>
        <v>2</v>
      </c>
      <c r="G16" s="21" t="s">
        <v>601</v>
      </c>
      <c r="H16" s="33" t="n">
        <f aca="false">FRIDGE_N*FRIDGE_KWH</f>
        <v>526</v>
      </c>
      <c r="I16" s="51" t="n">
        <f aca="false">OCC/KIT_USERS</f>
        <v>0.0625</v>
      </c>
      <c r="J16" s="33" t="n">
        <f aca="false">H16*I16</f>
        <v>32.875</v>
      </c>
      <c r="K16" s="33" t="n">
        <f aca="false">J16/OCC</f>
        <v>16.4375</v>
      </c>
      <c r="L16" s="8" t="s">
        <v>602</v>
      </c>
      <c r="M16" s="8" t="s">
        <v>575</v>
      </c>
      <c r="N16" s="21" t="s">
        <v>601</v>
      </c>
      <c r="O16" s="8" t="s">
        <v>603</v>
      </c>
    </row>
    <row r="17" customFormat="false" ht="23.85" hidden="false" customHeight="false" outlineLevel="0" collapsed="false">
      <c r="A17" s="17" t="s">
        <v>604</v>
      </c>
      <c r="B17" s="8" t="s">
        <v>599</v>
      </c>
      <c r="C17" s="21" t="s">
        <v>605</v>
      </c>
      <c r="D17" s="21" t="s">
        <v>606</v>
      </c>
      <c r="E17" s="18" t="n">
        <v>910</v>
      </c>
      <c r="F17" s="48" t="n">
        <v>1</v>
      </c>
      <c r="G17" s="21" t="s">
        <v>607</v>
      </c>
      <c r="H17" s="33" t="n">
        <f aca="false">DISP_KWH_DAY*365</f>
        <v>547.5</v>
      </c>
      <c r="I17" s="51" t="n">
        <f aca="false">OCC/KIT_USERS</f>
        <v>0.0625</v>
      </c>
      <c r="J17" s="33" t="n">
        <f aca="false">H17*I17</f>
        <v>34.21875</v>
      </c>
      <c r="K17" s="33" t="n">
        <f aca="false">J17/OCC</f>
        <v>17.109375</v>
      </c>
      <c r="L17" s="8" t="s">
        <v>392</v>
      </c>
      <c r="M17" s="8" t="s">
        <v>575</v>
      </c>
      <c r="N17" s="21" t="s">
        <v>238</v>
      </c>
      <c r="O17" s="8" t="s">
        <v>608</v>
      </c>
    </row>
    <row r="18" customFormat="false" ht="23.85" hidden="false" customHeight="false" outlineLevel="0" collapsed="false">
      <c r="A18" s="17" t="s">
        <v>609</v>
      </c>
      <c r="B18" s="8" t="s">
        <v>599</v>
      </c>
      <c r="C18" s="21" t="s">
        <v>610</v>
      </c>
      <c r="D18" s="21" t="s">
        <v>611</v>
      </c>
      <c r="E18" s="31" t="n">
        <f aca="false">KAC_LABEL_KWH/LABEL_HOURS*1000</f>
        <v>573.333333333333</v>
      </c>
      <c r="F18" s="48" t="n">
        <v>1</v>
      </c>
      <c r="G18" s="21" t="s">
        <v>612</v>
      </c>
      <c r="H18" s="33" t="n">
        <f aca="false">KAC_LABEL_KWH/LABEL_HOURS*(KAC_H_HOT*DAYS_HOT+KAC_H_COOL*DAYS_COOL)</f>
        <v>1259.04</v>
      </c>
      <c r="I18" s="51" t="n">
        <f aca="false">OCC/KIT_USERS</f>
        <v>0.0625</v>
      </c>
      <c r="J18" s="33" t="n">
        <f aca="false">H18*I18</f>
        <v>78.69</v>
      </c>
      <c r="K18" s="33" t="n">
        <f aca="false">J18/OCC</f>
        <v>39.345</v>
      </c>
      <c r="L18" s="8" t="s">
        <v>554</v>
      </c>
      <c r="M18" s="8" t="s">
        <v>554</v>
      </c>
      <c r="N18" s="21" t="s">
        <v>613</v>
      </c>
      <c r="O18" s="8" t="s">
        <v>614</v>
      </c>
    </row>
    <row r="19" customFormat="false" ht="15" hidden="false" customHeight="false" outlineLevel="0" collapsed="false">
      <c r="A19" s="17" t="s">
        <v>615</v>
      </c>
      <c r="B19" s="8" t="s">
        <v>599</v>
      </c>
      <c r="C19" s="21" t="s">
        <v>616</v>
      </c>
      <c r="D19" s="21" t="s">
        <v>355</v>
      </c>
      <c r="E19" s="31" t="n">
        <f aca="false">KLIGHT_W</f>
        <v>15</v>
      </c>
      <c r="F19" s="50" t="n">
        <f aca="false">KLIGHT_N</f>
        <v>6</v>
      </c>
      <c r="G19" s="43" t="n">
        <f aca="false">KLIGHT_H</f>
        <v>16</v>
      </c>
      <c r="H19" s="33" t="n">
        <f aca="false">E19*F19*G19*365/1000</f>
        <v>525.6</v>
      </c>
      <c r="I19" s="51" t="n">
        <f aca="false">OCC/KIT_USERS</f>
        <v>0.0625</v>
      </c>
      <c r="J19" s="33" t="n">
        <f aca="false">H19*I19</f>
        <v>32.85</v>
      </c>
      <c r="K19" s="33" t="n">
        <f aca="false">J19/OCC</f>
        <v>16.425</v>
      </c>
      <c r="L19" s="8" t="s">
        <v>559</v>
      </c>
      <c r="M19" s="8" t="s">
        <v>559</v>
      </c>
      <c r="N19" s="21" t="s">
        <v>238</v>
      </c>
      <c r="O19" s="8" t="s">
        <v>179</v>
      </c>
    </row>
    <row r="20" customFormat="false" ht="23.85" hidden="false" customHeight="false" outlineLevel="0" collapsed="false">
      <c r="A20" s="17" t="s">
        <v>617</v>
      </c>
      <c r="B20" s="8" t="s">
        <v>599</v>
      </c>
      <c r="C20" s="21" t="s">
        <v>618</v>
      </c>
      <c r="D20" s="21" t="s">
        <v>619</v>
      </c>
      <c r="E20" s="31" t="n">
        <f aca="false">COOK_KW*1000</f>
        <v>1000</v>
      </c>
      <c r="F20" s="50" t="n">
        <f aca="false">OCC</f>
        <v>2</v>
      </c>
      <c r="G20" s="43" t="n">
        <f aca="false">COOK_SESS*COOK_H/7</f>
        <v>0.428571428571429</v>
      </c>
      <c r="H20" s="33" t="n">
        <f aca="false">COOK_SESS*52*COOK_H*COOK_KW*OCC</f>
        <v>312</v>
      </c>
      <c r="I20" s="26" t="n">
        <v>1</v>
      </c>
      <c r="J20" s="33" t="n">
        <f aca="false">H20*I20</f>
        <v>312</v>
      </c>
      <c r="K20" s="33" t="n">
        <f aca="false">J20/OCC</f>
        <v>156</v>
      </c>
      <c r="L20" s="8" t="s">
        <v>620</v>
      </c>
      <c r="M20" s="8" t="s">
        <v>575</v>
      </c>
      <c r="N20" s="21" t="s">
        <v>621</v>
      </c>
      <c r="O20" s="8" t="s">
        <v>622</v>
      </c>
    </row>
    <row r="21" customFormat="false" ht="23.85" hidden="false" customHeight="false" outlineLevel="0" collapsed="false">
      <c r="A21" s="17" t="s">
        <v>623</v>
      </c>
      <c r="B21" s="8" t="s">
        <v>624</v>
      </c>
      <c r="C21" s="21" t="s">
        <v>625</v>
      </c>
      <c r="D21" s="21" t="s">
        <v>626</v>
      </c>
      <c r="E21" s="18"/>
      <c r="F21" s="50" t="n">
        <f aca="false">OCC</f>
        <v>2</v>
      </c>
      <c r="G21" s="21" t="s">
        <v>627</v>
      </c>
      <c r="H21" s="33" t="n">
        <f aca="false">LAUNDRY_WK*52*WASH_KWH*OCC</f>
        <v>31.2</v>
      </c>
      <c r="I21" s="26" t="n">
        <v>1</v>
      </c>
      <c r="J21" s="33" t="n">
        <f aca="false">H21*I21</f>
        <v>31.2</v>
      </c>
      <c r="K21" s="33" t="n">
        <f aca="false">J21/OCC</f>
        <v>15.6</v>
      </c>
      <c r="L21" s="8" t="s">
        <v>624</v>
      </c>
      <c r="M21" s="8" t="s">
        <v>575</v>
      </c>
      <c r="N21" s="21" t="s">
        <v>628</v>
      </c>
      <c r="O21" s="8" t="s">
        <v>179</v>
      </c>
    </row>
    <row r="22" customFormat="false" ht="23.85" hidden="false" customHeight="false" outlineLevel="0" collapsed="false">
      <c r="A22" s="17" t="s">
        <v>629</v>
      </c>
      <c r="B22" s="8" t="s">
        <v>624</v>
      </c>
      <c r="C22" s="21" t="s">
        <v>630</v>
      </c>
      <c r="D22" s="21" t="s">
        <v>631</v>
      </c>
      <c r="E22" s="31" t="n">
        <f aca="false">DRY_KW*1000</f>
        <v>3000</v>
      </c>
      <c r="F22" s="50" t="n">
        <f aca="false">OCC</f>
        <v>2</v>
      </c>
      <c r="G22" s="21" t="s">
        <v>632</v>
      </c>
      <c r="H22" s="33" t="n">
        <f aca="false">LAUNDRY_WK*52*DRY_KW*DRY_MIN/60*OCC</f>
        <v>62.4</v>
      </c>
      <c r="I22" s="26" t="n">
        <v>1</v>
      </c>
      <c r="J22" s="33" t="n">
        <f aca="false">H22*I22</f>
        <v>62.4</v>
      </c>
      <c r="K22" s="33" t="n">
        <f aca="false">J22/OCC</f>
        <v>31.2</v>
      </c>
      <c r="L22" s="8" t="s">
        <v>624</v>
      </c>
      <c r="M22" s="8" t="s">
        <v>575</v>
      </c>
      <c r="N22" s="21" t="s">
        <v>621</v>
      </c>
      <c r="O22" s="8" t="s">
        <v>179</v>
      </c>
    </row>
    <row r="23" customFormat="false" ht="15" hidden="false" customHeight="false" outlineLevel="0" collapsed="false">
      <c r="A23" s="38" t="s">
        <v>633</v>
      </c>
      <c r="B23" s="40"/>
      <c r="C23" s="40"/>
      <c r="D23" s="40"/>
      <c r="E23" s="40"/>
      <c r="F23" s="40"/>
      <c r="G23" s="40"/>
      <c r="H23" s="40"/>
      <c r="I23" s="40"/>
      <c r="J23" s="15" t="n">
        <f aca="false">SUM(J7:J22)</f>
        <v>2586.38766687142</v>
      </c>
      <c r="K23" s="15" t="n">
        <f aca="false">SUM(K7:K22)</f>
        <v>1293.19383343571</v>
      </c>
    </row>
    <row r="26" customFormat="false" ht="57.45" hidden="false" customHeight="false" outlineLevel="0" collapsed="false">
      <c r="C26" s="12" t="s">
        <v>536</v>
      </c>
      <c r="D26" s="12" t="s">
        <v>544</v>
      </c>
      <c r="E26" s="12" t="s">
        <v>634</v>
      </c>
      <c r="F26" s="12" t="s">
        <v>545</v>
      </c>
    </row>
    <row r="27" customFormat="false" ht="15" hidden="false" customHeight="false" outlineLevel="0" collapsed="false">
      <c r="C27" s="8" t="s">
        <v>635</v>
      </c>
      <c r="D27" s="33" t="n">
        <f aca="false">SUMIF($B$7:$B$22,"Room",$J$7:$J$22)</f>
        <v>1219.61081081081</v>
      </c>
      <c r="E27" s="36" t="n">
        <f aca="false">D27/$D$31</f>
        <v>0.471549886520335</v>
      </c>
      <c r="F27" s="33" t="n">
        <f aca="false">D27/OCC</f>
        <v>609.805405405405</v>
      </c>
    </row>
    <row r="28" customFormat="false" ht="15" hidden="false" customHeight="false" outlineLevel="0" collapsed="false">
      <c r="C28" s="8" t="s">
        <v>292</v>
      </c>
      <c r="D28" s="33" t="n">
        <f aca="false">SUMIF($B$7:$B$22,"Washroom",$J$7:$J$22)</f>
        <v>782.543106060606</v>
      </c>
      <c r="E28" s="36" t="n">
        <f aca="false">D28/$D$31</f>
        <v>0.302562185895047</v>
      </c>
      <c r="F28" s="33" t="n">
        <f aca="false">D28/OCC</f>
        <v>391.271553030303</v>
      </c>
    </row>
    <row r="29" customFormat="false" ht="15" hidden="false" customHeight="false" outlineLevel="0" collapsed="false">
      <c r="C29" s="8" t="s">
        <v>329</v>
      </c>
      <c r="D29" s="33" t="n">
        <f aca="false">SUMIF($B$7:$B$22,"Kitchen",$J$7:$J$22)</f>
        <v>490.63375</v>
      </c>
      <c r="E29" s="36" t="n">
        <f aca="false">D29/$D$31</f>
        <v>0.189698457151046</v>
      </c>
      <c r="F29" s="33" t="n">
        <f aca="false">D29/OCC</f>
        <v>245.316875</v>
      </c>
    </row>
    <row r="30" customFormat="false" ht="15" hidden="false" customHeight="false" outlineLevel="0" collapsed="false">
      <c r="C30" s="8" t="s">
        <v>372</v>
      </c>
      <c r="D30" s="33" t="n">
        <f aca="false">SUMIF($B$7:$B$22,"Laundry",$J$7:$J$22)</f>
        <v>93.6</v>
      </c>
      <c r="E30" s="36" t="n">
        <f aca="false">D30/$D$31</f>
        <v>0.0361894704335726</v>
      </c>
      <c r="F30" s="33" t="n">
        <f aca="false">D30/OCC</f>
        <v>46.8</v>
      </c>
    </row>
    <row r="31" customFormat="false" ht="15" hidden="false" customHeight="false" outlineLevel="0" collapsed="false">
      <c r="C31" s="38" t="s">
        <v>636</v>
      </c>
      <c r="D31" s="42" t="n">
        <f aca="false">SUM(D27:D30)</f>
        <v>2586.38766687142</v>
      </c>
      <c r="E31" s="52" t="n">
        <f aca="false">SUM(E27:E30)</f>
        <v>1</v>
      </c>
      <c r="F31" s="42" t="n">
        <f aca="false">D31/OCC</f>
        <v>1293.19383343571</v>
      </c>
    </row>
    <row r="32" customFormat="false" ht="23.85" hidden="false" customHeight="false" outlineLevel="0" collapsed="false">
      <c r="C32" s="21" t="s">
        <v>637</v>
      </c>
      <c r="D32" s="33" t="n">
        <f aca="false">D31-D27</f>
        <v>1366.77685606061</v>
      </c>
      <c r="E32" s="36" t="n">
        <f aca="false">D32/D31</f>
        <v>0.528450113479665</v>
      </c>
    </row>
    <row r="33" customFormat="false" ht="15" hidden="false" customHeight="false" outlineLevel="0" collapsed="false">
      <c r="C33" s="2" t="s">
        <v>638</v>
      </c>
      <c r="D33" s="35" t="n">
        <f aca="false">ROUND(D31-J23,6)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13" min="4" style="0" width="10"/>
    <col collapsed="false" customWidth="true" hidden="false" outlineLevel="0" max="14" min="14" style="0" width="11"/>
    <col collapsed="false" customWidth="true" hidden="false" outlineLevel="0" max="17" min="15" style="0" width="10"/>
    <col collapsed="false" customWidth="true" hidden="false" outlineLevel="0" max="18" min="18" style="0" width="9"/>
    <col collapsed="false" customWidth="true" hidden="false" outlineLevel="0" max="20" min="19" style="0" width="10"/>
  </cols>
  <sheetData>
    <row r="1" customFormat="false" ht="17.35" hidden="false" customHeight="false" outlineLevel="0" collapsed="false">
      <c r="A1" s="1" t="s">
        <v>639</v>
      </c>
    </row>
    <row r="2" customFormat="false" ht="15" hidden="false" customHeight="false" outlineLevel="0" collapsed="false">
      <c r="A2" s="2" t="s">
        <v>640</v>
      </c>
    </row>
    <row r="5" customFormat="false" ht="57.75" hidden="false" customHeight="true" outlineLevel="0" collapsed="false">
      <c r="A5" s="12" t="s">
        <v>78</v>
      </c>
      <c r="B5" s="12" t="s">
        <v>79</v>
      </c>
      <c r="C5" s="12" t="s">
        <v>479</v>
      </c>
      <c r="D5" s="12" t="s">
        <v>641</v>
      </c>
      <c r="E5" s="12" t="s">
        <v>642</v>
      </c>
      <c r="F5" s="12" t="s">
        <v>643</v>
      </c>
      <c r="G5" s="12" t="s">
        <v>644</v>
      </c>
      <c r="H5" s="12" t="s">
        <v>586</v>
      </c>
      <c r="I5" s="12" t="s">
        <v>645</v>
      </c>
      <c r="J5" s="12" t="s">
        <v>646</v>
      </c>
      <c r="K5" s="12" t="s">
        <v>647</v>
      </c>
      <c r="L5" s="12" t="s">
        <v>620</v>
      </c>
      <c r="M5" s="12" t="s">
        <v>624</v>
      </c>
      <c r="N5" s="12" t="s">
        <v>648</v>
      </c>
      <c r="O5" s="12" t="s">
        <v>649</v>
      </c>
      <c r="P5" s="12" t="s">
        <v>650</v>
      </c>
      <c r="Q5" s="12" t="s">
        <v>651</v>
      </c>
      <c r="R5" s="12" t="s">
        <v>652</v>
      </c>
      <c r="S5" s="12" t="s">
        <v>653</v>
      </c>
      <c r="T5" s="12" t="s">
        <v>654</v>
      </c>
    </row>
    <row r="6" customFormat="false" ht="15" hidden="false" customHeight="false" outlineLevel="0" collapsed="false">
      <c r="A6" s="8" t="s">
        <v>83</v>
      </c>
      <c r="B6" s="31" t="n">
        <f aca="false">Inputs!J5</f>
        <v>31</v>
      </c>
      <c r="C6" s="8" t="str">
        <f aca="false">IF(Inputs!K5=1,"Hot","Cool")</f>
        <v>Cool</v>
      </c>
      <c r="D6" s="49" t="n">
        <f aca="false">AC_Baseline!E6</f>
        <v>35.5618776671408</v>
      </c>
      <c r="E6" s="49" t="n">
        <f aca="false">Inventory!$J$10*B6/365</f>
        <v>7.44</v>
      </c>
      <c r="F6" s="49" t="n">
        <f aca="false">(Inventory!$J$8+Inventory!$J$9)*B6/365</f>
        <v>9.92</v>
      </c>
      <c r="G6" s="49" t="n">
        <f aca="false">(Inventory!$J$11+Inventory!$J$12)*B6/365</f>
        <v>17.36</v>
      </c>
      <c r="H6" s="49" t="n">
        <f aca="false">HotWater!G6</f>
        <v>77.007601010101</v>
      </c>
      <c r="I6" s="49" t="n">
        <f aca="false">(Inventory!$J$14+Inventory!$J$15)*B6/365</f>
        <v>12.555</v>
      </c>
      <c r="J6" s="33" t="n">
        <f aca="false">KAC_LABEL_KWH/LABEL_HOURS*B6*IF(Inputs!K5=1,KAC_H_HOT,KAC_H_COOL)*Inventory!$I$18</f>
        <v>4.44333333333333</v>
      </c>
      <c r="K6" s="49" t="n">
        <f aca="false">(Inventory!$J$16+Inventory!$J$17+Inventory!$J$19)*B6/365</f>
        <v>8.48837328767123</v>
      </c>
      <c r="L6" s="49" t="n">
        <f aca="false">Inventory!$J$20*B6/365</f>
        <v>26.4986301369863</v>
      </c>
      <c r="M6" s="49" t="n">
        <f aca="false">(Inventory!$J$21+Inventory!$J$22)*B6/365</f>
        <v>7.94958904109589</v>
      </c>
      <c r="N6" s="53" t="n">
        <f aca="false">SUM(D6:M6)</f>
        <v>207.224404476329</v>
      </c>
      <c r="O6" s="34" t="n">
        <f aca="false">N6*MJ_PER_KWH</f>
        <v>746.007856114783</v>
      </c>
      <c r="P6" s="33" t="n">
        <f aca="false">SUM(D6:G6)</f>
        <v>70.2818776671408</v>
      </c>
      <c r="Q6" s="37" t="n">
        <f aca="false">P6*MJ_PER_KWH/ROOM_AREA</f>
        <v>16.8676506401138</v>
      </c>
      <c r="R6" s="33" t="n">
        <f aca="false">N6/OCC</f>
        <v>103.612202238164</v>
      </c>
      <c r="S6" s="33" t="n">
        <f aca="false">N6*EF_CLP</f>
        <v>70.4562975219517</v>
      </c>
      <c r="T6" s="33" t="n">
        <f aca="false">N6*EF_DEFAULT</f>
        <v>145.05708313343</v>
      </c>
    </row>
    <row r="7" customFormat="false" ht="15" hidden="false" customHeight="false" outlineLevel="0" collapsed="false">
      <c r="A7" s="8" t="s">
        <v>90</v>
      </c>
      <c r="B7" s="31" t="n">
        <f aca="false">Inputs!J6</f>
        <v>28</v>
      </c>
      <c r="C7" s="8" t="str">
        <f aca="false">IF(Inputs!K6=1,"Hot","Cool")</f>
        <v>Cool</v>
      </c>
      <c r="D7" s="49" t="n">
        <f aca="false">AC_Baseline!E7</f>
        <v>35.5618776671408</v>
      </c>
      <c r="E7" s="49" t="n">
        <f aca="false">Inventory!$J$10*B7/365</f>
        <v>6.72</v>
      </c>
      <c r="F7" s="49" t="n">
        <f aca="false">(Inventory!$J$8+Inventory!$J$9)*B7/365</f>
        <v>8.96</v>
      </c>
      <c r="G7" s="49" t="n">
        <f aca="false">(Inventory!$J$11+Inventory!$J$12)*B7/365</f>
        <v>15.68</v>
      </c>
      <c r="H7" s="49" t="n">
        <f aca="false">HotWater!G7</f>
        <v>67.7793737373737</v>
      </c>
      <c r="I7" s="49" t="n">
        <f aca="false">(Inventory!$J$14+Inventory!$J$15)*B7/365</f>
        <v>11.34</v>
      </c>
      <c r="J7" s="33" t="n">
        <f aca="false">KAC_LABEL_KWH/LABEL_HOURS*B7*IF(Inputs!K6=1,KAC_H_HOT,KAC_H_COOL)*Inventory!$I$18</f>
        <v>4.01333333333333</v>
      </c>
      <c r="K7" s="49" t="n">
        <f aca="false">(Inventory!$J$16+Inventory!$J$17+Inventory!$J$19)*B7/365</f>
        <v>7.66691780821918</v>
      </c>
      <c r="L7" s="49" t="n">
        <f aca="false">Inventory!$J$20*B7/365</f>
        <v>23.9342465753425</v>
      </c>
      <c r="M7" s="49" t="n">
        <f aca="false">(Inventory!$J$21+Inventory!$J$22)*B7/365</f>
        <v>7.18027397260274</v>
      </c>
      <c r="N7" s="53" t="n">
        <f aca="false">SUM(D7:M7)</f>
        <v>188.836023094012</v>
      </c>
      <c r="O7" s="34" t="n">
        <f aca="false">N7*MJ_PER_KWH</f>
        <v>679.809683138444</v>
      </c>
      <c r="P7" s="33" t="n">
        <f aca="false">SUM(D7:G7)</f>
        <v>66.9218776671408</v>
      </c>
      <c r="Q7" s="37" t="n">
        <f aca="false">P7*MJ_PER_KWH/ROOM_AREA</f>
        <v>16.0612506401138</v>
      </c>
      <c r="R7" s="33" t="n">
        <f aca="false">N7/OCC</f>
        <v>94.4180115470062</v>
      </c>
      <c r="S7" s="33" t="n">
        <f aca="false">N7*EF_CLP</f>
        <v>64.2042478519642</v>
      </c>
      <c r="T7" s="33" t="n">
        <f aca="false">N7*EF_DEFAULT</f>
        <v>132.185216165809</v>
      </c>
    </row>
    <row r="8" customFormat="false" ht="15" hidden="false" customHeight="false" outlineLevel="0" collapsed="false">
      <c r="A8" s="8" t="s">
        <v>94</v>
      </c>
      <c r="B8" s="31" t="n">
        <f aca="false">Inputs!J7</f>
        <v>31</v>
      </c>
      <c r="C8" s="8" t="str">
        <f aca="false">IF(Inputs!K7=1,"Hot","Cool")</f>
        <v>Cool</v>
      </c>
      <c r="D8" s="49" t="n">
        <f aca="false">AC_Baseline!E8</f>
        <v>35.5618776671408</v>
      </c>
      <c r="E8" s="49" t="n">
        <f aca="false">Inventory!$J$10*B8/365</f>
        <v>7.44</v>
      </c>
      <c r="F8" s="49" t="n">
        <f aca="false">(Inventory!$J$8+Inventory!$J$9)*B8/365</f>
        <v>9.92</v>
      </c>
      <c r="G8" s="49" t="n">
        <f aca="false">(Inventory!$J$11+Inventory!$J$12)*B8/365</f>
        <v>17.36</v>
      </c>
      <c r="H8" s="49" t="n">
        <f aca="false">HotWater!G8</f>
        <v>67.5045353535354</v>
      </c>
      <c r="I8" s="49" t="n">
        <f aca="false">(Inventory!$J$14+Inventory!$J$15)*B8/365</f>
        <v>12.555</v>
      </c>
      <c r="J8" s="33" t="n">
        <f aca="false">KAC_LABEL_KWH/LABEL_HOURS*B8*IF(Inputs!K7=1,KAC_H_HOT,KAC_H_COOL)*Inventory!$I$18</f>
        <v>4.44333333333333</v>
      </c>
      <c r="K8" s="49" t="n">
        <f aca="false">(Inventory!$J$16+Inventory!$J$17+Inventory!$J$19)*B8/365</f>
        <v>8.48837328767123</v>
      </c>
      <c r="L8" s="49" t="n">
        <f aca="false">Inventory!$J$20*B8/365</f>
        <v>26.4986301369863</v>
      </c>
      <c r="M8" s="49" t="n">
        <f aca="false">(Inventory!$J$21+Inventory!$J$22)*B8/365</f>
        <v>7.94958904109589</v>
      </c>
      <c r="N8" s="53" t="n">
        <f aca="false">SUM(D8:M8)</f>
        <v>197.721338819763</v>
      </c>
      <c r="O8" s="34" t="n">
        <f aca="false">N8*MJ_PER_KWH</f>
        <v>711.796819751147</v>
      </c>
      <c r="P8" s="33" t="n">
        <f aca="false">SUM(D8:G8)</f>
        <v>70.2818776671408</v>
      </c>
      <c r="Q8" s="37" t="n">
        <f aca="false">P8*MJ_PER_KWH/ROOM_AREA</f>
        <v>16.8676506401138</v>
      </c>
      <c r="R8" s="33" t="n">
        <f aca="false">N8/OCC</f>
        <v>98.8606694098815</v>
      </c>
      <c r="S8" s="33" t="n">
        <f aca="false">N8*EF_CLP</f>
        <v>67.2252551987194</v>
      </c>
      <c r="T8" s="33" t="n">
        <f aca="false">N8*EF_DEFAULT</f>
        <v>138.404937173834</v>
      </c>
    </row>
    <row r="9" customFormat="false" ht="15" hidden="false" customHeight="false" outlineLevel="0" collapsed="false">
      <c r="A9" s="8" t="s">
        <v>98</v>
      </c>
      <c r="B9" s="31" t="n">
        <f aca="false">Inputs!J8</f>
        <v>30</v>
      </c>
      <c r="C9" s="8" t="str">
        <f aca="false">IF(Inputs!K8=1,"Hot","Cool")</f>
        <v>Cool</v>
      </c>
      <c r="D9" s="49" t="n">
        <f aca="false">AC_Baseline!E9</f>
        <v>35.5618776671408</v>
      </c>
      <c r="E9" s="49" t="n">
        <f aca="false">Inventory!$J$10*B9/365</f>
        <v>7.2</v>
      </c>
      <c r="F9" s="49" t="n">
        <f aca="false">(Inventory!$J$8+Inventory!$J$9)*B9/365</f>
        <v>9.6</v>
      </c>
      <c r="G9" s="49" t="n">
        <f aca="false">(Inventory!$J$11+Inventory!$J$12)*B9/365</f>
        <v>16.8</v>
      </c>
      <c r="H9" s="49" t="n">
        <f aca="false">HotWater!G9</f>
        <v>53.9106060606061</v>
      </c>
      <c r="I9" s="49" t="n">
        <f aca="false">(Inventory!$J$14+Inventory!$J$15)*B9/365</f>
        <v>12.15</v>
      </c>
      <c r="J9" s="33" t="n">
        <f aca="false">KAC_LABEL_KWH/LABEL_HOURS*B9*IF(Inputs!K8=1,KAC_H_HOT,KAC_H_COOL)*Inventory!$I$18</f>
        <v>4.3</v>
      </c>
      <c r="K9" s="49" t="n">
        <f aca="false">(Inventory!$J$16+Inventory!$J$17+Inventory!$J$19)*B9/365</f>
        <v>8.21455479452055</v>
      </c>
      <c r="L9" s="49" t="n">
        <f aca="false">Inventory!$J$20*B9/365</f>
        <v>25.6438356164384</v>
      </c>
      <c r="M9" s="49" t="n">
        <f aca="false">(Inventory!$J$21+Inventory!$J$22)*B9/365</f>
        <v>7.69315068493151</v>
      </c>
      <c r="N9" s="53" t="n">
        <f aca="false">SUM(D9:M9)</f>
        <v>181.074024823637</v>
      </c>
      <c r="O9" s="34" t="n">
        <f aca="false">N9*MJ_PER_KWH</f>
        <v>651.866489365094</v>
      </c>
      <c r="P9" s="33" t="n">
        <f aca="false">SUM(D9:G9)</f>
        <v>69.1618776671408</v>
      </c>
      <c r="Q9" s="37" t="n">
        <f aca="false">P9*MJ_PER_KWH/ROOM_AREA</f>
        <v>16.5988506401138</v>
      </c>
      <c r="R9" s="33" t="n">
        <f aca="false">N9/OCC</f>
        <v>90.5370124118187</v>
      </c>
      <c r="S9" s="33" t="n">
        <f aca="false">N9*EF_CLP</f>
        <v>61.5651684400367</v>
      </c>
      <c r="T9" s="33" t="n">
        <f aca="false">N9*EF_DEFAULT</f>
        <v>126.751817376546</v>
      </c>
    </row>
    <row r="10" customFormat="false" ht="15" hidden="false" customHeight="false" outlineLevel="0" collapsed="false">
      <c r="A10" s="8" t="s">
        <v>103</v>
      </c>
      <c r="B10" s="31" t="n">
        <f aca="false">Inputs!J9</f>
        <v>31</v>
      </c>
      <c r="C10" s="8" t="str">
        <f aca="false">IF(Inputs!K9=1,"Hot","Cool")</f>
        <v>Hot</v>
      </c>
      <c r="D10" s="49" t="n">
        <f aca="false">AC_Baseline!E10</f>
        <v>99.5732574679943</v>
      </c>
      <c r="E10" s="49" t="n">
        <f aca="false">Inventory!$J$10*B10/365</f>
        <v>7.44</v>
      </c>
      <c r="F10" s="49" t="n">
        <f aca="false">(Inventory!$J$8+Inventory!$J$9)*B10/365</f>
        <v>9.92</v>
      </c>
      <c r="G10" s="49" t="n">
        <f aca="false">(Inventory!$J$11+Inventory!$J$12)*B10/365</f>
        <v>17.36</v>
      </c>
      <c r="H10" s="49" t="n">
        <f aca="false">HotWater!G10</f>
        <v>44.8937929292929</v>
      </c>
      <c r="I10" s="49" t="n">
        <f aca="false">(Inventory!$J$14+Inventory!$J$15)*B10/365</f>
        <v>12.555</v>
      </c>
      <c r="J10" s="33" t="n">
        <f aca="false">KAC_LABEL_KWH/LABEL_HOURS*B10*IF(Inputs!K9=1,KAC_H_HOT,KAC_H_COOL)*Inventory!$I$18</f>
        <v>8.88666666666667</v>
      </c>
      <c r="K10" s="49" t="n">
        <f aca="false">(Inventory!$J$16+Inventory!$J$17+Inventory!$J$19)*B10/365</f>
        <v>8.48837328767123</v>
      </c>
      <c r="L10" s="49" t="n">
        <f aca="false">Inventory!$J$20*B10/365</f>
        <v>26.4986301369863</v>
      </c>
      <c r="M10" s="49" t="n">
        <f aca="false">(Inventory!$J$21+Inventory!$J$22)*B10/365</f>
        <v>7.94958904109589</v>
      </c>
      <c r="N10" s="53" t="n">
        <f aca="false">SUM(D10:M10)</f>
        <v>243.565309529707</v>
      </c>
      <c r="O10" s="34" t="n">
        <f aca="false">N10*MJ_PER_KWH</f>
        <v>876.835114306946</v>
      </c>
      <c r="P10" s="33" t="n">
        <f aca="false">SUM(D10:G10)</f>
        <v>134.293257467994</v>
      </c>
      <c r="Q10" s="37" t="n">
        <f aca="false">P10*MJ_PER_KWH/ROOM_AREA</f>
        <v>32.2303817923186</v>
      </c>
      <c r="R10" s="33" t="n">
        <f aca="false">N10/OCC</f>
        <v>121.782654764854</v>
      </c>
      <c r="S10" s="33" t="n">
        <f aca="false">N10*EF_CLP</f>
        <v>82.8122052401005</v>
      </c>
      <c r="T10" s="33" t="n">
        <f aca="false">N10*EF_DEFAULT</f>
        <v>170.495716670795</v>
      </c>
    </row>
    <row r="11" customFormat="false" ht="15" hidden="false" customHeight="false" outlineLevel="0" collapsed="false">
      <c r="A11" s="8" t="s">
        <v>107</v>
      </c>
      <c r="B11" s="31" t="n">
        <f aca="false">Inputs!J10</f>
        <v>30</v>
      </c>
      <c r="C11" s="8" t="str">
        <f aca="false">IF(Inputs!K10=1,"Hot","Cool")</f>
        <v>Hot</v>
      </c>
      <c r="D11" s="49" t="n">
        <f aca="false">AC_Baseline!E11</f>
        <v>99.5732574679943</v>
      </c>
      <c r="E11" s="49" t="n">
        <f aca="false">Inventory!$J$10*B11/365</f>
        <v>7.2</v>
      </c>
      <c r="F11" s="49" t="n">
        <f aca="false">(Inventory!$J$8+Inventory!$J$9)*B11/365</f>
        <v>9.6</v>
      </c>
      <c r="G11" s="49" t="n">
        <f aca="false">(Inventory!$J$11+Inventory!$J$12)*B11/365</f>
        <v>16.8</v>
      </c>
      <c r="H11" s="49" t="n">
        <f aca="false">HotWater!G11</f>
        <v>37.1031818181818</v>
      </c>
      <c r="I11" s="49" t="n">
        <f aca="false">(Inventory!$J$14+Inventory!$J$15)*B11/365</f>
        <v>12.15</v>
      </c>
      <c r="J11" s="33" t="n">
        <f aca="false">KAC_LABEL_KWH/LABEL_HOURS*B11*IF(Inputs!K10=1,KAC_H_HOT,KAC_H_COOL)*Inventory!$I$18</f>
        <v>8.6</v>
      </c>
      <c r="K11" s="49" t="n">
        <f aca="false">(Inventory!$J$16+Inventory!$J$17+Inventory!$J$19)*B11/365</f>
        <v>8.21455479452055</v>
      </c>
      <c r="L11" s="49" t="n">
        <f aca="false">Inventory!$J$20*B11/365</f>
        <v>25.6438356164384</v>
      </c>
      <c r="M11" s="49" t="n">
        <f aca="false">(Inventory!$J$21+Inventory!$J$22)*B11/365</f>
        <v>7.69315068493151</v>
      </c>
      <c r="N11" s="53" t="n">
        <f aca="false">SUM(D11:M11)</f>
        <v>232.577980382067</v>
      </c>
      <c r="O11" s="34" t="n">
        <f aca="false">N11*MJ_PER_KWH</f>
        <v>837.28072937544</v>
      </c>
      <c r="P11" s="33" t="n">
        <f aca="false">SUM(D11:G11)</f>
        <v>133.173257467994</v>
      </c>
      <c r="Q11" s="37" t="n">
        <f aca="false">P11*MJ_PER_KWH/ROOM_AREA</f>
        <v>31.9615817923186</v>
      </c>
      <c r="R11" s="33" t="n">
        <f aca="false">N11/OCC</f>
        <v>116.288990191033</v>
      </c>
      <c r="S11" s="33" t="n">
        <f aca="false">N11*EF_CLP</f>
        <v>79.0765133299026</v>
      </c>
      <c r="T11" s="33" t="n">
        <f aca="false">N11*EF_DEFAULT</f>
        <v>162.804586267447</v>
      </c>
    </row>
    <row r="12" customFormat="false" ht="15" hidden="false" customHeight="false" outlineLevel="0" collapsed="false">
      <c r="A12" s="8" t="s">
        <v>110</v>
      </c>
      <c r="B12" s="31" t="n">
        <f aca="false">Inputs!J11</f>
        <v>31</v>
      </c>
      <c r="C12" s="8" t="str">
        <f aca="false">IF(Inputs!K11=1,"Hot","Cool")</f>
        <v>Hot</v>
      </c>
      <c r="D12" s="49" t="n">
        <f aca="false">AC_Baseline!E12</f>
        <v>99.5732574679943</v>
      </c>
      <c r="E12" s="49" t="n">
        <f aca="false">Inventory!$J$10*B12/365</f>
        <v>7.44</v>
      </c>
      <c r="F12" s="49" t="n">
        <f aca="false">(Inventory!$J$8+Inventory!$J$9)*B12/365</f>
        <v>9.92</v>
      </c>
      <c r="G12" s="49" t="n">
        <f aca="false">(Inventory!$J$11+Inventory!$J$12)*B12/365</f>
        <v>17.36</v>
      </c>
      <c r="H12" s="49" t="n">
        <f aca="false">HotWater!G12</f>
        <v>36.373803030303</v>
      </c>
      <c r="I12" s="49" t="n">
        <f aca="false">(Inventory!$J$14+Inventory!$J$15)*B12/365</f>
        <v>12.555</v>
      </c>
      <c r="J12" s="33" t="n">
        <f aca="false">KAC_LABEL_KWH/LABEL_HOURS*B12*IF(Inputs!K11=1,KAC_H_HOT,KAC_H_COOL)*Inventory!$I$18</f>
        <v>8.88666666666667</v>
      </c>
      <c r="K12" s="49" t="n">
        <f aca="false">(Inventory!$J$16+Inventory!$J$17+Inventory!$J$19)*B12/365</f>
        <v>8.48837328767123</v>
      </c>
      <c r="L12" s="49" t="n">
        <f aca="false">Inventory!$J$20*B12/365</f>
        <v>26.4986301369863</v>
      </c>
      <c r="M12" s="49" t="n">
        <f aca="false">(Inventory!$J$21+Inventory!$J$22)*B12/365</f>
        <v>7.94958904109589</v>
      </c>
      <c r="N12" s="53" t="n">
        <f aca="false">SUM(D12:M12)</f>
        <v>235.045319630717</v>
      </c>
      <c r="O12" s="34" t="n">
        <f aca="false">N12*MJ_PER_KWH</f>
        <v>846.163150670583</v>
      </c>
      <c r="P12" s="33" t="n">
        <f aca="false">SUM(D12:G12)</f>
        <v>134.293257467994</v>
      </c>
      <c r="Q12" s="37" t="n">
        <f aca="false">P12*MJ_PER_KWH/ROOM_AREA</f>
        <v>32.2303817923186</v>
      </c>
      <c r="R12" s="33" t="n">
        <f aca="false">N12/OCC</f>
        <v>117.522659815359</v>
      </c>
      <c r="S12" s="33" t="n">
        <f aca="false">N12*EF_CLP</f>
        <v>79.9154086744439</v>
      </c>
      <c r="T12" s="33" t="n">
        <f aca="false">N12*EF_DEFAULT</f>
        <v>164.531723741502</v>
      </c>
    </row>
    <row r="13" customFormat="false" ht="15" hidden="false" customHeight="false" outlineLevel="0" collapsed="false">
      <c r="A13" s="8" t="s">
        <v>115</v>
      </c>
      <c r="B13" s="31" t="n">
        <f aca="false">Inputs!J12</f>
        <v>31</v>
      </c>
      <c r="C13" s="8" t="str">
        <f aca="false">IF(Inputs!K12=1,"Hot","Cool")</f>
        <v>Hot</v>
      </c>
      <c r="D13" s="49" t="n">
        <f aca="false">AC_Baseline!E13</f>
        <v>99.5732574679943</v>
      </c>
      <c r="E13" s="49" t="n">
        <f aca="false">Inventory!$J$10*B13/365</f>
        <v>7.44</v>
      </c>
      <c r="F13" s="49" t="n">
        <f aca="false">(Inventory!$J$8+Inventory!$J$9)*B13/365</f>
        <v>9.92</v>
      </c>
      <c r="G13" s="49" t="n">
        <f aca="false">(Inventory!$J$11+Inventory!$J$12)*B13/365</f>
        <v>17.36</v>
      </c>
      <c r="H13" s="49" t="n">
        <f aca="false">HotWater!G13</f>
        <v>37.0291868686869</v>
      </c>
      <c r="I13" s="49" t="n">
        <f aca="false">(Inventory!$J$14+Inventory!$J$15)*B13/365</f>
        <v>12.555</v>
      </c>
      <c r="J13" s="33" t="n">
        <f aca="false">KAC_LABEL_KWH/LABEL_HOURS*B13*IF(Inputs!K12=1,KAC_H_HOT,KAC_H_COOL)*Inventory!$I$18</f>
        <v>8.88666666666667</v>
      </c>
      <c r="K13" s="49" t="n">
        <f aca="false">(Inventory!$J$16+Inventory!$J$17+Inventory!$J$19)*B13/365</f>
        <v>8.48837328767123</v>
      </c>
      <c r="L13" s="49" t="n">
        <f aca="false">Inventory!$J$20*B13/365</f>
        <v>26.4986301369863</v>
      </c>
      <c r="M13" s="49" t="n">
        <f aca="false">(Inventory!$J$21+Inventory!$J$22)*B13/365</f>
        <v>7.94958904109589</v>
      </c>
      <c r="N13" s="53" t="n">
        <f aca="false">SUM(D13:M13)</f>
        <v>235.700703469101</v>
      </c>
      <c r="O13" s="34" t="n">
        <f aca="false">N13*MJ_PER_KWH</f>
        <v>848.522532488765</v>
      </c>
      <c r="P13" s="33" t="n">
        <f aca="false">SUM(D13:G13)</f>
        <v>134.293257467994</v>
      </c>
      <c r="Q13" s="37" t="n">
        <f aca="false">P13*MJ_PER_KWH/ROOM_AREA</f>
        <v>32.2303817923186</v>
      </c>
      <c r="R13" s="33" t="n">
        <f aca="false">N13/OCC</f>
        <v>117.850351734551</v>
      </c>
      <c r="S13" s="33" t="n">
        <f aca="false">N13*EF_CLP</f>
        <v>80.1382391794945</v>
      </c>
      <c r="T13" s="33" t="n">
        <f aca="false">N13*EF_DEFAULT</f>
        <v>164.990492428371</v>
      </c>
    </row>
    <row r="14" customFormat="false" ht="15" hidden="false" customHeight="false" outlineLevel="0" collapsed="false">
      <c r="A14" s="8" t="s">
        <v>121</v>
      </c>
      <c r="B14" s="31" t="n">
        <f aca="false">Inputs!J13</f>
        <v>30</v>
      </c>
      <c r="C14" s="8" t="str">
        <f aca="false">IF(Inputs!K13=1,"Hot","Cool")</f>
        <v>Hot</v>
      </c>
      <c r="D14" s="49" t="n">
        <f aca="false">AC_Baseline!E14</f>
        <v>99.5732574679943</v>
      </c>
      <c r="E14" s="49" t="n">
        <f aca="false">Inventory!$J$10*B14/365</f>
        <v>7.2</v>
      </c>
      <c r="F14" s="49" t="n">
        <f aca="false">(Inventory!$J$8+Inventory!$J$9)*B14/365</f>
        <v>9.6</v>
      </c>
      <c r="G14" s="49" t="n">
        <f aca="false">(Inventory!$J$11+Inventory!$J$12)*B14/365</f>
        <v>16.8</v>
      </c>
      <c r="H14" s="49" t="n">
        <f aca="false">HotWater!G14</f>
        <v>38.3716666666667</v>
      </c>
      <c r="I14" s="49" t="n">
        <f aca="false">(Inventory!$J$14+Inventory!$J$15)*B14/365</f>
        <v>12.15</v>
      </c>
      <c r="J14" s="33" t="n">
        <f aca="false">KAC_LABEL_KWH/LABEL_HOURS*B14*IF(Inputs!K13=1,KAC_H_HOT,KAC_H_COOL)*Inventory!$I$18</f>
        <v>8.6</v>
      </c>
      <c r="K14" s="49" t="n">
        <f aca="false">(Inventory!$J$16+Inventory!$J$17+Inventory!$J$19)*B14/365</f>
        <v>8.21455479452055</v>
      </c>
      <c r="L14" s="49" t="n">
        <f aca="false">Inventory!$J$20*B14/365</f>
        <v>25.6438356164384</v>
      </c>
      <c r="M14" s="49" t="n">
        <f aca="false">(Inventory!$J$21+Inventory!$J$22)*B14/365</f>
        <v>7.69315068493151</v>
      </c>
      <c r="N14" s="53" t="n">
        <f aca="false">SUM(D14:M14)</f>
        <v>233.846465230551</v>
      </c>
      <c r="O14" s="34" t="n">
        <f aca="false">N14*MJ_PER_KWH</f>
        <v>841.847274829985</v>
      </c>
      <c r="P14" s="33" t="n">
        <f aca="false">SUM(D14:G14)</f>
        <v>133.173257467994</v>
      </c>
      <c r="Q14" s="37" t="n">
        <f aca="false">P14*MJ_PER_KWH/ROOM_AREA</f>
        <v>31.9615817923186</v>
      </c>
      <c r="R14" s="33" t="n">
        <f aca="false">N14/OCC</f>
        <v>116.923232615276</v>
      </c>
      <c r="S14" s="33" t="n">
        <f aca="false">N14*EF_CLP</f>
        <v>79.5077981783875</v>
      </c>
      <c r="T14" s="33" t="n">
        <f aca="false">N14*EF_DEFAULT</f>
        <v>163.692525661386</v>
      </c>
    </row>
    <row r="15" customFormat="false" ht="15" hidden="false" customHeight="false" outlineLevel="0" collapsed="false">
      <c r="A15" s="8" t="s">
        <v>125</v>
      </c>
      <c r="B15" s="31" t="n">
        <f aca="false">Inputs!J14</f>
        <v>31</v>
      </c>
      <c r="C15" s="8" t="str">
        <f aca="false">IF(Inputs!K14=1,"Hot","Cool")</f>
        <v>Hot</v>
      </c>
      <c r="D15" s="49" t="n">
        <f aca="false">AC_Baseline!E15</f>
        <v>99.5732574679943</v>
      </c>
      <c r="E15" s="49" t="n">
        <f aca="false">Inventory!$J$10*B15/365</f>
        <v>7.44</v>
      </c>
      <c r="F15" s="49" t="n">
        <f aca="false">(Inventory!$J$8+Inventory!$J$9)*B15/365</f>
        <v>9.92</v>
      </c>
      <c r="G15" s="49" t="n">
        <f aca="false">(Inventory!$J$11+Inventory!$J$12)*B15/365</f>
        <v>17.36</v>
      </c>
      <c r="H15" s="49" t="n">
        <f aca="false">HotWater!G15</f>
        <v>46.8599444444445</v>
      </c>
      <c r="I15" s="49" t="n">
        <f aca="false">(Inventory!$J$14+Inventory!$J$15)*B15/365</f>
        <v>12.555</v>
      </c>
      <c r="J15" s="33" t="n">
        <f aca="false">KAC_LABEL_KWH/LABEL_HOURS*B15*IF(Inputs!K14=1,KAC_H_HOT,KAC_H_COOL)*Inventory!$I$18</f>
        <v>8.88666666666667</v>
      </c>
      <c r="K15" s="49" t="n">
        <f aca="false">(Inventory!$J$16+Inventory!$J$17+Inventory!$J$19)*B15/365</f>
        <v>8.48837328767123</v>
      </c>
      <c r="L15" s="49" t="n">
        <f aca="false">Inventory!$J$20*B15/365</f>
        <v>26.4986301369863</v>
      </c>
      <c r="M15" s="49" t="n">
        <f aca="false">(Inventory!$J$21+Inventory!$J$22)*B15/365</f>
        <v>7.94958904109589</v>
      </c>
      <c r="N15" s="53" t="n">
        <f aca="false">SUM(D15:M15)</f>
        <v>245.531461044859</v>
      </c>
      <c r="O15" s="34" t="n">
        <f aca="false">N15*MJ_PER_KWH</f>
        <v>883.913259761492</v>
      </c>
      <c r="P15" s="33" t="n">
        <f aca="false">SUM(D15:G15)</f>
        <v>134.293257467994</v>
      </c>
      <c r="Q15" s="37" t="n">
        <f aca="false">P15*MJ_PER_KWH/ROOM_AREA</f>
        <v>32.2303817923186</v>
      </c>
      <c r="R15" s="33" t="n">
        <f aca="false">N15/OCC</f>
        <v>122.765730522429</v>
      </c>
      <c r="S15" s="33" t="n">
        <f aca="false">N15*EF_CLP</f>
        <v>83.480696755252</v>
      </c>
      <c r="T15" s="33" t="n">
        <f aca="false">N15*EF_DEFAULT</f>
        <v>171.872022731401</v>
      </c>
    </row>
    <row r="16" customFormat="false" ht="15" hidden="false" customHeight="false" outlineLevel="0" collapsed="false">
      <c r="A16" s="8" t="s">
        <v>132</v>
      </c>
      <c r="B16" s="31" t="n">
        <f aca="false">Inputs!J15</f>
        <v>30</v>
      </c>
      <c r="C16" s="8" t="str">
        <f aca="false">IF(Inputs!K15=1,"Hot","Cool")</f>
        <v>Cool</v>
      </c>
      <c r="D16" s="49" t="n">
        <f aca="false">AC_Baseline!E16</f>
        <v>35.5618776671408</v>
      </c>
      <c r="E16" s="49" t="n">
        <f aca="false">Inventory!$J$10*B16/365</f>
        <v>7.2</v>
      </c>
      <c r="F16" s="49" t="n">
        <f aca="false">(Inventory!$J$8+Inventory!$J$9)*B16/365</f>
        <v>9.6</v>
      </c>
      <c r="G16" s="49" t="n">
        <f aca="false">(Inventory!$J$11+Inventory!$J$12)*B16/365</f>
        <v>16.8</v>
      </c>
      <c r="H16" s="49" t="n">
        <f aca="false">HotWater!G16</f>
        <v>56.4475757575758</v>
      </c>
      <c r="I16" s="49" t="n">
        <f aca="false">(Inventory!$J$14+Inventory!$J$15)*B16/365</f>
        <v>12.15</v>
      </c>
      <c r="J16" s="33" t="n">
        <f aca="false">KAC_LABEL_KWH/LABEL_HOURS*B16*IF(Inputs!K15=1,KAC_H_HOT,KAC_H_COOL)*Inventory!$I$18</f>
        <v>4.3</v>
      </c>
      <c r="K16" s="49" t="n">
        <f aca="false">(Inventory!$J$16+Inventory!$J$17+Inventory!$J$19)*B16/365</f>
        <v>8.21455479452055</v>
      </c>
      <c r="L16" s="49" t="n">
        <f aca="false">Inventory!$J$20*B16/365</f>
        <v>25.6438356164384</v>
      </c>
      <c r="M16" s="49" t="n">
        <f aca="false">(Inventory!$J$21+Inventory!$J$22)*B16/365</f>
        <v>7.69315068493151</v>
      </c>
      <c r="N16" s="53" t="n">
        <f aca="false">SUM(D16:M16)</f>
        <v>183.610994520607</v>
      </c>
      <c r="O16" s="34" t="n">
        <f aca="false">N16*MJ_PER_KWH</f>
        <v>660.999580274185</v>
      </c>
      <c r="P16" s="33" t="n">
        <f aca="false">SUM(D16:G16)</f>
        <v>69.1618776671408</v>
      </c>
      <c r="Q16" s="37" t="n">
        <f aca="false">P16*MJ_PER_KWH/ROOM_AREA</f>
        <v>16.5988506401138</v>
      </c>
      <c r="R16" s="33" t="n">
        <f aca="false">N16/OCC</f>
        <v>91.8054972603035</v>
      </c>
      <c r="S16" s="33" t="n">
        <f aca="false">N16*EF_CLP</f>
        <v>62.4277381370064</v>
      </c>
      <c r="T16" s="33" t="n">
        <f aca="false">N16*EF_DEFAULT</f>
        <v>128.527696164425</v>
      </c>
    </row>
    <row r="17" customFormat="false" ht="15" hidden="false" customHeight="false" outlineLevel="0" collapsed="false">
      <c r="A17" s="8" t="s">
        <v>137</v>
      </c>
      <c r="B17" s="31" t="n">
        <f aca="false">Inputs!J16</f>
        <v>31</v>
      </c>
      <c r="C17" s="8" t="str">
        <f aca="false">IF(Inputs!K16=1,"Hot","Cool")</f>
        <v>Cool</v>
      </c>
      <c r="D17" s="49" t="n">
        <f aca="false">AC_Baseline!E17</f>
        <v>35.5618776671408</v>
      </c>
      <c r="E17" s="49" t="n">
        <f aca="false">Inventory!$J$10*B17/365</f>
        <v>7.44</v>
      </c>
      <c r="F17" s="49" t="n">
        <f aca="false">(Inventory!$J$8+Inventory!$J$9)*B17/365</f>
        <v>9.92</v>
      </c>
      <c r="G17" s="49" t="n">
        <f aca="false">(Inventory!$J$11+Inventory!$J$12)*B17/365</f>
        <v>17.36</v>
      </c>
      <c r="H17" s="49" t="n">
        <f aca="false">HotWater!G17</f>
        <v>71.4368383838384</v>
      </c>
      <c r="I17" s="49" t="n">
        <f aca="false">(Inventory!$J$14+Inventory!$J$15)*B17/365</f>
        <v>12.555</v>
      </c>
      <c r="J17" s="33" t="n">
        <f aca="false">KAC_LABEL_KWH/LABEL_HOURS*B17*IF(Inputs!K16=1,KAC_H_HOT,KAC_H_COOL)*Inventory!$I$18</f>
        <v>4.44333333333333</v>
      </c>
      <c r="K17" s="49" t="n">
        <f aca="false">(Inventory!$J$16+Inventory!$J$17+Inventory!$J$19)*B17/365</f>
        <v>8.48837328767123</v>
      </c>
      <c r="L17" s="49" t="n">
        <f aca="false">Inventory!$J$20*B17/365</f>
        <v>26.4986301369863</v>
      </c>
      <c r="M17" s="49" t="n">
        <f aca="false">(Inventory!$J$21+Inventory!$J$22)*B17/365</f>
        <v>7.94958904109589</v>
      </c>
      <c r="N17" s="53" t="n">
        <f aca="false">SUM(D17:M17)</f>
        <v>201.653641850066</v>
      </c>
      <c r="O17" s="34" t="n">
        <f aca="false">N17*MJ_PER_KWH</f>
        <v>725.953110660238</v>
      </c>
      <c r="P17" s="33" t="n">
        <f aca="false">SUM(D17:G17)</f>
        <v>70.2818776671408</v>
      </c>
      <c r="Q17" s="37" t="n">
        <f aca="false">P17*MJ_PER_KWH/ROOM_AREA</f>
        <v>16.8676506401138</v>
      </c>
      <c r="R17" s="33" t="n">
        <f aca="false">N17/OCC</f>
        <v>100.826820925033</v>
      </c>
      <c r="S17" s="33" t="n">
        <f aca="false">N17*EF_CLP</f>
        <v>68.5622382290224</v>
      </c>
      <c r="T17" s="33" t="n">
        <f aca="false">N17*EF_DEFAULT</f>
        <v>141.157549295046</v>
      </c>
    </row>
    <row r="18" customFormat="false" ht="15" hidden="false" customHeight="false" outlineLevel="0" collapsed="false">
      <c r="A18" s="38" t="s">
        <v>139</v>
      </c>
      <c r="B18" s="39" t="n">
        <f aca="false">SUM(B6:B17)</f>
        <v>365</v>
      </c>
      <c r="C18" s="40"/>
      <c r="D18" s="42" t="n">
        <f aca="false">SUM(D6:D17)</f>
        <v>810.810810810811</v>
      </c>
      <c r="E18" s="42" t="n">
        <f aca="false">SUM(E6:E17)</f>
        <v>87.6</v>
      </c>
      <c r="F18" s="42" t="n">
        <f aca="false">SUM(F6:F17)</f>
        <v>116.8</v>
      </c>
      <c r="G18" s="42" t="n">
        <f aca="false">SUM(G6:G17)</f>
        <v>204.4</v>
      </c>
      <c r="H18" s="42" t="n">
        <f aca="false">SUM(H6:H17)</f>
        <v>634.718106060606</v>
      </c>
      <c r="I18" s="42" t="n">
        <f aca="false">SUM(I6:I17)</f>
        <v>147.825</v>
      </c>
      <c r="J18" s="42" t="n">
        <f aca="false">SUM(J6:J17)</f>
        <v>78.69</v>
      </c>
      <c r="K18" s="42" t="n">
        <f aca="false">SUM(K6:K17)</f>
        <v>99.94375</v>
      </c>
      <c r="L18" s="42" t="n">
        <f aca="false">SUM(L6:L17)</f>
        <v>312</v>
      </c>
      <c r="M18" s="42" t="n">
        <f aca="false">SUM(M6:M17)</f>
        <v>93.6</v>
      </c>
      <c r="N18" s="42" t="n">
        <f aca="false">SUM(N6:N17)</f>
        <v>2586.38766687142</v>
      </c>
      <c r="O18" s="39" t="n">
        <f aca="false">SUM(O6:O17)</f>
        <v>9310.9956007371</v>
      </c>
      <c r="P18" s="42" t="n">
        <f aca="false">SUM(P6:P17)</f>
        <v>1219.61081081081</v>
      </c>
      <c r="Q18" s="14" t="n">
        <f aca="false">P18*MJ_PER_KWH/ROOM_AREA</f>
        <v>292.706594594595</v>
      </c>
      <c r="R18" s="42" t="n">
        <f aca="false">SUM(R6:R17)</f>
        <v>1293.19383343571</v>
      </c>
      <c r="S18" s="42" t="n">
        <f aca="false">SUM(S6:S17)</f>
        <v>879.371806736282</v>
      </c>
      <c r="T18" s="42" t="n">
        <f aca="false">SUM(T6:T17)</f>
        <v>1810.47136680999</v>
      </c>
    </row>
    <row r="20" customFormat="false" ht="15" hidden="false" customHeight="false" outlineLevel="0" collapsed="false">
      <c r="A20" s="2" t="s">
        <v>655</v>
      </c>
      <c r="N20" s="35" t="n">
        <f aca="false">ROUND(N18-HH_KWH,6)</f>
        <v>0</v>
      </c>
    </row>
    <row r="21" customFormat="false" ht="15" hidden="false" customHeight="false" outlineLevel="0" collapsed="false">
      <c r="A21" s="2" t="s">
        <v>656</v>
      </c>
      <c r="P21" s="35" t="n">
        <f aca="false">ROUND(P18-ROOM_KWH,6)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657</v>
      </c>
    </row>
    <row r="2" customFormat="false" ht="15" hidden="false" customHeight="false" outlineLevel="0" collapsed="false">
      <c r="A2" s="2" t="s">
        <v>658</v>
      </c>
    </row>
    <row r="4" customFormat="false" ht="15" hidden="false" customHeight="false" outlineLevel="0" collapsed="false">
      <c r="A4" s="10" t="s">
        <v>659</v>
      </c>
      <c r="B4" s="11"/>
      <c r="C4" s="11"/>
      <c r="D4" s="11"/>
      <c r="E4" s="11"/>
      <c r="F4" s="11"/>
    </row>
    <row r="5" customFormat="false" ht="30" hidden="false" customHeight="true" outlineLevel="0" collapsed="false">
      <c r="A5" s="12" t="s">
        <v>546</v>
      </c>
      <c r="B5" s="12" t="s">
        <v>19</v>
      </c>
      <c r="C5" s="12" t="s">
        <v>660</v>
      </c>
      <c r="D5" s="12" t="s">
        <v>26</v>
      </c>
      <c r="E5" s="12" t="s">
        <v>661</v>
      </c>
      <c r="F5" s="12" t="s">
        <v>662</v>
      </c>
    </row>
    <row r="6" customFormat="false" ht="15" hidden="false" customHeight="false" outlineLevel="0" collapsed="false">
      <c r="A6" s="8" t="s">
        <v>554</v>
      </c>
      <c r="B6" s="49" t="n">
        <f aca="false">SUMIF(Inventory!$L$7:$L$22,A6,Inventory!$J$7:$J$22)</f>
        <v>889.500810810811</v>
      </c>
      <c r="C6" s="36" t="n">
        <f aca="false">B6/$B$16</f>
        <v>0.343916274502956</v>
      </c>
      <c r="D6" s="33" t="n">
        <f aca="false">B6/OCC</f>
        <v>444.750405405405</v>
      </c>
      <c r="E6" s="33" t="n">
        <f aca="false">B6*EF_CLP</f>
        <v>302.430275675676</v>
      </c>
      <c r="F6" s="33" t="n">
        <f aca="false">B6*EF_DEFAULT</f>
        <v>622.650567567568</v>
      </c>
    </row>
    <row r="7" customFormat="false" ht="15" hidden="false" customHeight="false" outlineLevel="0" collapsed="false">
      <c r="A7" s="8" t="s">
        <v>586</v>
      </c>
      <c r="B7" s="49" t="n">
        <f aca="false">SUMIF(Inventory!$L$7:$L$22,A7,Inventory!$J$7:$J$22)</f>
        <v>634.718106060606</v>
      </c>
      <c r="C7" s="36" t="n">
        <f aca="false">B7/$B$16</f>
        <v>0.245407180907409</v>
      </c>
      <c r="D7" s="33" t="n">
        <f aca="false">B7/OCC</f>
        <v>317.359053030303</v>
      </c>
      <c r="E7" s="33" t="n">
        <f aca="false">B7*EF_CLP</f>
        <v>215.804156060606</v>
      </c>
      <c r="F7" s="33" t="n">
        <f aca="false">B7*EF_DEFAULT</f>
        <v>444.302674242424</v>
      </c>
    </row>
    <row r="8" customFormat="false" ht="15" hidden="false" customHeight="false" outlineLevel="0" collapsed="false">
      <c r="A8" s="8" t="s">
        <v>620</v>
      </c>
      <c r="B8" s="49" t="n">
        <f aca="false">SUMIF(Inventory!$L$7:$L$22,A8,Inventory!$J$7:$J$22)</f>
        <v>312</v>
      </c>
      <c r="C8" s="36" t="n">
        <f aca="false">B8/$B$16</f>
        <v>0.120631568111909</v>
      </c>
      <c r="D8" s="33" t="n">
        <f aca="false">B8/OCC</f>
        <v>156</v>
      </c>
      <c r="E8" s="33" t="n">
        <f aca="false">B8*EF_CLP</f>
        <v>106.08</v>
      </c>
      <c r="F8" s="33" t="n">
        <f aca="false">B8*EF_DEFAULT</f>
        <v>218.4</v>
      </c>
    </row>
    <row r="9" customFormat="false" ht="15" hidden="false" customHeight="false" outlineLevel="0" collapsed="false">
      <c r="A9" s="8" t="s">
        <v>574</v>
      </c>
      <c r="B9" s="49" t="n">
        <f aca="false">SUMIF(Inventory!$L$7:$L$22,A9,Inventory!$J$7:$J$22)</f>
        <v>204.4</v>
      </c>
      <c r="C9" s="36" t="n">
        <f aca="false">B9/$B$16</f>
        <v>0.0790291426989556</v>
      </c>
      <c r="D9" s="33" t="n">
        <f aca="false">B9/OCC</f>
        <v>102.2</v>
      </c>
      <c r="E9" s="33" t="n">
        <f aca="false">B9*EF_CLP</f>
        <v>69.496</v>
      </c>
      <c r="F9" s="33" t="n">
        <f aca="false">B9*EF_DEFAULT</f>
        <v>143.08</v>
      </c>
    </row>
    <row r="10" customFormat="false" ht="15" hidden="false" customHeight="false" outlineLevel="0" collapsed="false">
      <c r="A10" s="8" t="s">
        <v>559</v>
      </c>
      <c r="B10" s="49" t="n">
        <f aca="false">SUMIF(Inventory!$L$7:$L$22,A10,Inventory!$J$7:$J$22)</f>
        <v>166.075</v>
      </c>
      <c r="C10" s="36" t="n">
        <f aca="false">B10/$B$16</f>
        <v>0.0642111784429014</v>
      </c>
      <c r="D10" s="33" t="n">
        <f aca="false">B10/OCC</f>
        <v>83.0375</v>
      </c>
      <c r="E10" s="33" t="n">
        <f aca="false">B10*EF_CLP</f>
        <v>56.4655</v>
      </c>
      <c r="F10" s="33" t="n">
        <f aca="false">B10*EF_DEFAULT</f>
        <v>116.2525</v>
      </c>
    </row>
    <row r="11" customFormat="false" ht="15" hidden="false" customHeight="false" outlineLevel="0" collapsed="false">
      <c r="A11" s="8" t="s">
        <v>592</v>
      </c>
      <c r="B11" s="49" t="n">
        <f aca="false">SUMIF(Inventory!$L$7:$L$22,A11,Inventory!$J$7:$J$22)</f>
        <v>131.4</v>
      </c>
      <c r="C11" s="36" t="n">
        <f aca="false">B11/$B$16</f>
        <v>0.0508044488779</v>
      </c>
      <c r="D11" s="33" t="n">
        <f aca="false">B11/OCC</f>
        <v>65.7</v>
      </c>
      <c r="E11" s="33" t="n">
        <f aca="false">B11*EF_CLP</f>
        <v>44.676</v>
      </c>
      <c r="F11" s="33" t="n">
        <f aca="false">B11*EF_DEFAULT</f>
        <v>91.98</v>
      </c>
    </row>
    <row r="12" customFormat="false" ht="15" hidden="false" customHeight="false" outlineLevel="0" collapsed="false">
      <c r="A12" s="8" t="s">
        <v>568</v>
      </c>
      <c r="B12" s="49" t="n">
        <f aca="false">SUMIF(Inventory!$L$7:$L$22,A12,Inventory!$J$7:$J$22)</f>
        <v>87.6</v>
      </c>
      <c r="C12" s="36" t="n">
        <f aca="false">B12/$B$16</f>
        <v>0.0338696325852667</v>
      </c>
      <c r="D12" s="33" t="n">
        <f aca="false">B12/OCC</f>
        <v>43.8</v>
      </c>
      <c r="E12" s="33" t="n">
        <f aca="false">B12*EF_CLP</f>
        <v>29.784</v>
      </c>
      <c r="F12" s="33" t="n">
        <f aca="false">B12*EF_DEFAULT</f>
        <v>61.32</v>
      </c>
    </row>
    <row r="13" customFormat="false" ht="15" hidden="false" customHeight="false" outlineLevel="0" collapsed="false">
      <c r="A13" s="8" t="s">
        <v>624</v>
      </c>
      <c r="B13" s="49" t="n">
        <f aca="false">SUMIF(Inventory!$L$7:$L$22,A13,Inventory!$J$7:$J$22)</f>
        <v>93.6</v>
      </c>
      <c r="C13" s="36" t="n">
        <f aca="false">B13/$B$16</f>
        <v>0.0361894704335726</v>
      </c>
      <c r="D13" s="33" t="n">
        <f aca="false">B13/OCC</f>
        <v>46.8</v>
      </c>
      <c r="E13" s="33" t="n">
        <f aca="false">B13*EF_CLP</f>
        <v>31.824</v>
      </c>
      <c r="F13" s="33" t="n">
        <f aca="false">B13*EF_DEFAULT</f>
        <v>65.52</v>
      </c>
    </row>
    <row r="14" customFormat="false" ht="15" hidden="false" customHeight="false" outlineLevel="0" collapsed="false">
      <c r="A14" s="8" t="s">
        <v>392</v>
      </c>
      <c r="B14" s="49" t="n">
        <f aca="false">SUMIF(Inventory!$L$7:$L$22,A14,Inventory!$J$7:$J$22)</f>
        <v>34.21875</v>
      </c>
      <c r="C14" s="36" t="n">
        <f aca="false">B14/$B$16</f>
        <v>0.0132303252286198</v>
      </c>
      <c r="D14" s="33" t="n">
        <f aca="false">B14/OCC</f>
        <v>17.109375</v>
      </c>
      <c r="E14" s="33" t="n">
        <f aca="false">B14*EF_CLP</f>
        <v>11.634375</v>
      </c>
      <c r="F14" s="33" t="n">
        <f aca="false">B14*EF_DEFAULT</f>
        <v>23.953125</v>
      </c>
    </row>
    <row r="15" customFormat="false" ht="15" hidden="false" customHeight="false" outlineLevel="0" collapsed="false">
      <c r="A15" s="8" t="s">
        <v>602</v>
      </c>
      <c r="B15" s="49" t="n">
        <f aca="false">SUMIF(Inventory!$L$7:$L$22,A15,Inventory!$J$7:$J$22)</f>
        <v>32.875</v>
      </c>
      <c r="C15" s="36" t="n">
        <f aca="false">B15/$B$16</f>
        <v>0.0127107782105096</v>
      </c>
      <c r="D15" s="33" t="n">
        <f aca="false">B15/OCC</f>
        <v>16.4375</v>
      </c>
      <c r="E15" s="33" t="n">
        <f aca="false">B15*EF_CLP</f>
        <v>11.1775</v>
      </c>
      <c r="F15" s="33" t="n">
        <f aca="false">B15*EF_DEFAULT</f>
        <v>23.0125</v>
      </c>
    </row>
    <row r="16" customFormat="false" ht="15" hidden="false" customHeight="false" outlineLevel="0" collapsed="false">
      <c r="A16" s="38" t="s">
        <v>633</v>
      </c>
      <c r="B16" s="42" t="n">
        <f aca="false">SUM(B6:B15)</f>
        <v>2586.38766687142</v>
      </c>
      <c r="C16" s="52" t="n">
        <f aca="false">SUM(C6:C15)</f>
        <v>1</v>
      </c>
      <c r="D16" s="42" t="n">
        <f aca="false">SUM(D6:D15)</f>
        <v>1293.19383343571</v>
      </c>
      <c r="E16" s="42" t="n">
        <f aca="false">SUM(E6:E15)</f>
        <v>879.371806736282</v>
      </c>
      <c r="F16" s="42" t="n">
        <f aca="false">SUM(F6:F15)</f>
        <v>1810.47136680999</v>
      </c>
    </row>
    <row r="19" customFormat="false" ht="15" hidden="false" customHeight="false" outlineLevel="0" collapsed="false">
      <c r="A19" s="10" t="s">
        <v>663</v>
      </c>
      <c r="B19" s="11"/>
      <c r="C19" s="11"/>
      <c r="D19" s="11"/>
      <c r="E19" s="11"/>
      <c r="F19" s="11"/>
    </row>
    <row r="20" customFormat="false" ht="30" hidden="false" customHeight="true" outlineLevel="0" collapsed="false">
      <c r="A20" s="12" t="s">
        <v>664</v>
      </c>
      <c r="B20" s="12" t="s">
        <v>665</v>
      </c>
      <c r="C20" s="12" t="s">
        <v>666</v>
      </c>
      <c r="D20" s="12" t="s">
        <v>544</v>
      </c>
      <c r="E20" s="12" t="s">
        <v>667</v>
      </c>
      <c r="F20" s="12" t="s">
        <v>668</v>
      </c>
    </row>
    <row r="21" customFormat="false" ht="15" hidden="false" customHeight="false" outlineLevel="0" collapsed="false">
      <c r="A21" s="8" t="s">
        <v>554</v>
      </c>
      <c r="B21" s="49" t="n">
        <f aca="false">SUMIFS(Inventory!$J$7:$J$22,Inventory!$M$7:$M$22,A21,Inventory!$B$7:$B$22,"Room")</f>
        <v>898.410810810811</v>
      </c>
      <c r="C21" s="36" t="n">
        <f aca="false">B21/$B$25</f>
        <v>0.736637296789406</v>
      </c>
      <c r="D21" s="49" t="n">
        <f aca="false">SUMIF(Inventory!$M$7:$M$22,A21,Inventory!$J$7:$J$22)</f>
        <v>1108.50081081081</v>
      </c>
      <c r="E21" s="36" t="n">
        <f aca="false">D21/$D$25</f>
        <v>0.428590355966123</v>
      </c>
      <c r="F21" s="34" t="n">
        <f aca="false">B21*MJ_PER_KWH</f>
        <v>3234.27891891892</v>
      </c>
    </row>
    <row r="22" customFormat="false" ht="15" hidden="false" customHeight="false" outlineLevel="0" collapsed="false">
      <c r="A22" s="8" t="s">
        <v>559</v>
      </c>
      <c r="B22" s="49" t="n">
        <f aca="false">SUMIFS(Inventory!$J$7:$J$22,Inventory!$M$7:$M$22,A22,Inventory!$B$7:$B$22,"Room")</f>
        <v>116.8</v>
      </c>
      <c r="C22" s="36" t="n">
        <f aca="false">B22/$B$25</f>
        <v>0.0957682557129434</v>
      </c>
      <c r="D22" s="49" t="n">
        <f aca="false">SUMIF(Inventory!$M$7:$M$22,A22,Inventory!$J$7:$J$22)</f>
        <v>166.075</v>
      </c>
      <c r="E22" s="36" t="n">
        <f aca="false">D22/$D$25</f>
        <v>0.0642111784429014</v>
      </c>
      <c r="F22" s="34" t="n">
        <f aca="false">B22*MJ_PER_KWH</f>
        <v>420.48</v>
      </c>
    </row>
    <row r="23" customFormat="false" ht="15" hidden="false" customHeight="false" outlineLevel="0" collapsed="false">
      <c r="A23" s="8" t="s">
        <v>575</v>
      </c>
      <c r="B23" s="49" t="n">
        <f aca="false">SUMIFS(Inventory!$J$7:$J$22,Inventory!$M$7:$M$22,A23,Inventory!$B$7:$B$22,"Room")</f>
        <v>204.4</v>
      </c>
      <c r="C23" s="36" t="n">
        <f aca="false">B23/$B$25</f>
        <v>0.167594447497651</v>
      </c>
      <c r="D23" s="49" t="n">
        <f aca="false">SUMIF(Inventory!$M$7:$M$22,A23,Inventory!$J$7:$J$22)</f>
        <v>1311.81185606061</v>
      </c>
      <c r="E23" s="36" t="n">
        <f aca="false">D23/$D$25</f>
        <v>0.507198465590976</v>
      </c>
      <c r="F23" s="34" t="n">
        <f aca="false">B23*MJ_PER_KWH</f>
        <v>735.84</v>
      </c>
    </row>
    <row r="24" customFormat="false" ht="15" hidden="false" customHeight="false" outlineLevel="0" collapsed="false">
      <c r="A24" s="8" t="s">
        <v>669</v>
      </c>
      <c r="B24" s="54" t="n">
        <v>0</v>
      </c>
      <c r="C24" s="36" t="n">
        <f aca="false">B24/$B$25</f>
        <v>0</v>
      </c>
      <c r="D24" s="54" t="n">
        <v>0</v>
      </c>
      <c r="E24" s="36" t="n">
        <f aca="false">D24/$D$25</f>
        <v>0</v>
      </c>
      <c r="F24" s="34" t="n">
        <f aca="false">B24*MJ_PER_KWH</f>
        <v>0</v>
      </c>
    </row>
    <row r="25" customFormat="false" ht="15" hidden="false" customHeight="false" outlineLevel="0" collapsed="false">
      <c r="A25" s="38" t="s">
        <v>633</v>
      </c>
      <c r="B25" s="42" t="n">
        <f aca="false">SUM(B21:B24)</f>
        <v>1219.61081081081</v>
      </c>
      <c r="C25" s="52" t="n">
        <f aca="false">SUM(C21:C24)</f>
        <v>1</v>
      </c>
      <c r="D25" s="42" t="n">
        <f aca="false">SUM(D21:D24)</f>
        <v>2586.38766687142</v>
      </c>
      <c r="E25" s="52" t="n">
        <f aca="false">SUM(E21:E24)</f>
        <v>1</v>
      </c>
      <c r="F25" s="39" t="n">
        <f aca="false">SUM(F21:F24)</f>
        <v>4390.59891891892</v>
      </c>
    </row>
    <row r="26" customFormat="false" ht="15" hidden="false" customHeight="false" outlineLevel="0" collapsed="false">
      <c r="A26" s="2" t="s">
        <v>670</v>
      </c>
    </row>
    <row r="28" customFormat="false" ht="15" hidden="false" customHeight="false" outlineLevel="0" collapsed="false">
      <c r="A28" s="10" t="s">
        <v>671</v>
      </c>
      <c r="B28" s="11"/>
      <c r="C28" s="11"/>
      <c r="D28" s="11"/>
      <c r="E28" s="11"/>
      <c r="F28" s="11"/>
    </row>
    <row r="29" customFormat="false" ht="30" hidden="false" customHeight="true" outlineLevel="0" collapsed="false">
      <c r="A29" s="12" t="s">
        <v>14</v>
      </c>
      <c r="B29" s="12" t="s">
        <v>15</v>
      </c>
      <c r="C29" s="12" t="s">
        <v>16</v>
      </c>
      <c r="D29" s="12" t="s">
        <v>672</v>
      </c>
      <c r="E29" s="12" t="s">
        <v>673</v>
      </c>
      <c r="F29" s="12" t="s">
        <v>674</v>
      </c>
    </row>
    <row r="30" customFormat="false" ht="23.85" hidden="false" customHeight="false" outlineLevel="0" collapsed="false">
      <c r="A30" s="21" t="s">
        <v>675</v>
      </c>
      <c r="B30" s="55" t="n">
        <f aca="false">ROOM_KWH/ROOM_AREA</f>
        <v>81.3073873873874</v>
      </c>
      <c r="C30" s="8" t="s">
        <v>676</v>
      </c>
      <c r="D30" s="44" t="n">
        <f aca="false">BM_HH_KWH*12/BM_HH_PERS/BM_FLOOR_PP</f>
        <v>68.75</v>
      </c>
      <c r="E30" s="21" t="s">
        <v>677</v>
      </c>
      <c r="F30" s="37" t="n">
        <f aca="false">IF(D30="","",B30/D30)</f>
        <v>1.18265290745291</v>
      </c>
    </row>
    <row r="31" customFormat="false" ht="15" hidden="false" customHeight="false" outlineLevel="0" collapsed="false">
      <c r="A31" s="21" t="s">
        <v>27</v>
      </c>
      <c r="B31" s="55" t="n">
        <f aca="false">ROOM_KWH*MJ_PER_KWH/ROOM_AREA</f>
        <v>292.706594594595</v>
      </c>
      <c r="C31" s="8" t="s">
        <v>28</v>
      </c>
      <c r="D31" s="44" t="n">
        <f aca="false">D30*MJ_PER_KWH</f>
        <v>247.5</v>
      </c>
      <c r="E31" s="21" t="s">
        <v>678</v>
      </c>
      <c r="F31" s="37" t="n">
        <f aca="false">IF(D31="","",B31/D31)</f>
        <v>1.18265290745291</v>
      </c>
    </row>
    <row r="32" customFormat="false" ht="15" hidden="false" customHeight="false" outlineLevel="0" collapsed="false">
      <c r="A32" s="21" t="s">
        <v>679</v>
      </c>
      <c r="B32" s="56" t="n">
        <f aca="false">HH_KWH/OCC</f>
        <v>1293.19383343571</v>
      </c>
      <c r="C32" s="8" t="s">
        <v>26</v>
      </c>
      <c r="D32" s="34" t="n">
        <f aca="false">BM_HH_KWH*12/BM_HH_PERS</f>
        <v>1100</v>
      </c>
      <c r="E32" s="21" t="s">
        <v>680</v>
      </c>
      <c r="F32" s="37" t="n">
        <f aca="false">IF(D32="","",B32/D32)</f>
        <v>1.17563075766883</v>
      </c>
    </row>
    <row r="33" customFormat="false" ht="23.85" hidden="false" customHeight="false" outlineLevel="0" collapsed="false">
      <c r="A33" s="21" t="s">
        <v>681</v>
      </c>
      <c r="B33" s="57" t="n">
        <f aca="false">SHARED_KWH/HH_KWH</f>
        <v>0.528450113479665</v>
      </c>
      <c r="C33" s="8" t="s">
        <v>46</v>
      </c>
      <c r="D33" s="36"/>
      <c r="E33" s="21" t="s">
        <v>682</v>
      </c>
      <c r="F33" s="37" t="str">
        <f aca="false">IF(D33="","",B33/D33)</f>
        <v/>
      </c>
    </row>
    <row r="34" customFormat="false" ht="15" hidden="false" customHeight="false" outlineLevel="0" collapsed="false">
      <c r="A34" s="21" t="s">
        <v>683</v>
      </c>
      <c r="B34" s="55" t="n">
        <f aca="false">(CEIL_N*CEIL_W+DESK_N*DESK_W)/ROOM_AREA</f>
        <v>4</v>
      </c>
      <c r="C34" s="8" t="s">
        <v>684</v>
      </c>
      <c r="D34" s="44" t="n">
        <f aca="false">BEC_LPD</f>
        <v>6.2</v>
      </c>
      <c r="E34" s="21" t="s">
        <v>685</v>
      </c>
      <c r="F34" s="37" t="n">
        <f aca="false">IF(D34="","",B34/D34)</f>
        <v>0.645161290322581</v>
      </c>
    </row>
    <row r="35" customFormat="false" ht="15" hidden="false" customHeight="false" outlineLevel="0" collapsed="false">
      <c r="A35" s="21" t="s">
        <v>686</v>
      </c>
      <c r="B35" s="55" t="n">
        <f aca="false">ROOM_AREA/OCC</f>
        <v>7.5</v>
      </c>
      <c r="C35" s="8" t="s">
        <v>687</v>
      </c>
      <c r="D35" s="44" t="n">
        <f aca="false">BM_FLOOR_PP</f>
        <v>16</v>
      </c>
      <c r="E35" s="21" t="s">
        <v>688</v>
      </c>
      <c r="F35" s="37" t="n">
        <f aca="false">IF(D35="","",B35/D35)</f>
        <v>0.46875</v>
      </c>
    </row>
    <row r="36" customFormat="false" ht="15" hidden="false" customHeight="false" outlineLevel="0" collapsed="false">
      <c r="A36" s="21" t="s">
        <v>689</v>
      </c>
      <c r="B36" s="58" t="n">
        <f aca="false">GHG_Inventory!B40</f>
        <v>70.5714285714286</v>
      </c>
      <c r="C36" s="8" t="s">
        <v>393</v>
      </c>
      <c r="D36" s="33" t="n">
        <f aca="false">BM_WATER</f>
        <v>120.9</v>
      </c>
      <c r="E36" s="21" t="s">
        <v>690</v>
      </c>
      <c r="F36" s="37" t="n">
        <f aca="false">IF(D36="","",B36/D36)</f>
        <v>0.583717357910906</v>
      </c>
    </row>
    <row r="37" customFormat="false" ht="15" hidden="false" customHeight="false" outlineLevel="0" collapsed="false">
      <c r="A37" s="21" t="s">
        <v>691</v>
      </c>
      <c r="B37" s="57" t="n">
        <f aca="false">Breakdown!B21/Breakdown!B25</f>
        <v>0.736637296789406</v>
      </c>
      <c r="C37" s="8" t="s">
        <v>46</v>
      </c>
      <c r="D37" s="36"/>
      <c r="E37" s="21" t="s">
        <v>692</v>
      </c>
      <c r="F37" s="37" t="str">
        <f aca="false">IF(D37="","",B37/D37)</f>
        <v/>
      </c>
    </row>
    <row r="38" customFormat="false" ht="15" hidden="false" customHeight="false" outlineLevel="0" collapsed="false">
      <c r="A38" s="21" t="s">
        <v>693</v>
      </c>
      <c r="B38" s="57" t="n">
        <f aca="false">Breakdown!B7/Breakdown!B16</f>
        <v>0.245407180907409</v>
      </c>
      <c r="C38" s="8" t="s">
        <v>46</v>
      </c>
      <c r="D38" s="36"/>
      <c r="E38" s="21"/>
      <c r="F38" s="37" t="str">
        <f aca="false">IF(D38="","",B38/D38)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694</v>
      </c>
    </row>
    <row r="2" customFormat="false" ht="15" hidden="false" customHeight="false" outlineLevel="0" collapsed="false">
      <c r="A2" s="2" t="s">
        <v>695</v>
      </c>
    </row>
    <row r="4" customFormat="false" ht="15" hidden="false" customHeight="false" outlineLevel="0" collapsed="false">
      <c r="A4" s="10" t="s">
        <v>696</v>
      </c>
      <c r="B4" s="11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3" t="s">
        <v>697</v>
      </c>
    </row>
    <row r="6" customFormat="false" ht="15" hidden="false" customHeight="false" outlineLevel="0" collapsed="false">
      <c r="A6" s="12" t="s">
        <v>76</v>
      </c>
      <c r="B6" s="12" t="s">
        <v>698</v>
      </c>
      <c r="C6" s="12" t="s">
        <v>699</v>
      </c>
      <c r="D6" s="12" t="s">
        <v>16</v>
      </c>
      <c r="E6" s="12" t="s">
        <v>700</v>
      </c>
      <c r="F6" s="12" t="s">
        <v>31</v>
      </c>
    </row>
    <row r="7" customFormat="false" ht="35.05" hidden="false" customHeight="false" outlineLevel="0" collapsed="false">
      <c r="A7" s="8" t="s">
        <v>701</v>
      </c>
      <c r="B7" s="21" t="s">
        <v>702</v>
      </c>
      <c r="C7" s="54" t="n">
        <v>0</v>
      </c>
      <c r="D7" s="8" t="s">
        <v>179</v>
      </c>
      <c r="E7" s="22" t="n">
        <v>0</v>
      </c>
      <c r="F7" s="33" t="n">
        <f aca="false">C7*E7</f>
        <v>0</v>
      </c>
    </row>
    <row r="9" customFormat="false" ht="15" hidden="false" customHeight="false" outlineLevel="0" collapsed="false">
      <c r="A9" s="3" t="s">
        <v>703</v>
      </c>
    </row>
    <row r="10" customFormat="false" ht="15" hidden="false" customHeight="false" outlineLevel="0" collapsed="false">
      <c r="A10" s="12" t="s">
        <v>704</v>
      </c>
      <c r="B10" s="12" t="s">
        <v>705</v>
      </c>
      <c r="C10" s="12" t="s">
        <v>706</v>
      </c>
      <c r="D10" s="12" t="s">
        <v>707</v>
      </c>
      <c r="E10" s="12" t="s">
        <v>708</v>
      </c>
      <c r="F10" s="12" t="s">
        <v>709</v>
      </c>
      <c r="G10" s="12" t="s">
        <v>710</v>
      </c>
      <c r="H10" s="12" t="s">
        <v>31</v>
      </c>
    </row>
    <row r="11" customFormat="false" ht="15" hidden="false" customHeight="false" outlineLevel="0" collapsed="false">
      <c r="A11" s="8" t="s">
        <v>711</v>
      </c>
      <c r="B11" s="8" t="s">
        <v>712</v>
      </c>
      <c r="C11" s="25" t="n">
        <v>0</v>
      </c>
      <c r="D11" s="25" t="n">
        <v>0</v>
      </c>
      <c r="E11" s="25" t="n">
        <v>0</v>
      </c>
      <c r="F11" s="25" t="n">
        <v>0</v>
      </c>
      <c r="G11" s="31" t="n">
        <f aca="false">GWP_R32</f>
        <v>650</v>
      </c>
      <c r="H11" s="33" t="n">
        <f aca="false">(C11+D11-E11-F11)*G11</f>
        <v>0</v>
      </c>
    </row>
    <row r="12" customFormat="false" ht="15" hidden="false" customHeight="false" outlineLevel="0" collapsed="false">
      <c r="A12" s="8" t="s">
        <v>713</v>
      </c>
      <c r="B12" s="8" t="s">
        <v>714</v>
      </c>
      <c r="C12" s="25" t="n">
        <v>0</v>
      </c>
      <c r="D12" s="25" t="n">
        <v>0</v>
      </c>
      <c r="E12" s="25" t="n">
        <v>0</v>
      </c>
      <c r="F12" s="25" t="n">
        <v>0</v>
      </c>
      <c r="G12" s="31" t="n">
        <f aca="false">GWP_R410A</f>
        <v>1725</v>
      </c>
      <c r="H12" s="33" t="n">
        <f aca="false">(C12+D12-E12-F12)*G12</f>
        <v>0</v>
      </c>
    </row>
    <row r="13" customFormat="false" ht="15" hidden="false" customHeight="false" outlineLevel="0" collapsed="false">
      <c r="A13" s="2" t="s">
        <v>715</v>
      </c>
    </row>
    <row r="15" customFormat="false" ht="15" hidden="false" customHeight="false" outlineLevel="0" collapsed="false">
      <c r="A15" s="3" t="s">
        <v>716</v>
      </c>
    </row>
    <row r="16" customFormat="false" ht="23.85" hidden="false" customHeight="false" outlineLevel="0" collapsed="false">
      <c r="A16" s="12" t="s">
        <v>704</v>
      </c>
      <c r="B16" s="12" t="s">
        <v>705</v>
      </c>
      <c r="C16" s="12" t="s">
        <v>717</v>
      </c>
      <c r="D16" s="12" t="s">
        <v>718</v>
      </c>
      <c r="E16" s="12" t="s">
        <v>710</v>
      </c>
      <c r="F16" s="12" t="s">
        <v>543</v>
      </c>
      <c r="G16" s="12" t="s">
        <v>31</v>
      </c>
    </row>
    <row r="17" customFormat="false" ht="15" hidden="false" customHeight="false" outlineLevel="0" collapsed="false">
      <c r="A17" s="8" t="s">
        <v>711</v>
      </c>
      <c r="B17" s="8" t="s">
        <v>719</v>
      </c>
      <c r="C17" s="59" t="n">
        <f aca="false">AC_CHARGE</f>
        <v>0.4</v>
      </c>
      <c r="D17" s="60" t="n">
        <f aca="false">LEAK</f>
        <v>0.04</v>
      </c>
      <c r="E17" s="31" t="n">
        <f aca="false">GWP_R32</f>
        <v>650</v>
      </c>
      <c r="F17" s="26" t="n">
        <v>1</v>
      </c>
      <c r="G17" s="33" t="n">
        <f aca="false">C17*D17*E17*F17</f>
        <v>10.4</v>
      </c>
    </row>
    <row r="18" customFormat="false" ht="15" hidden="false" customHeight="false" outlineLevel="0" collapsed="false">
      <c r="A18" s="8" t="s">
        <v>713</v>
      </c>
      <c r="B18" s="8" t="s">
        <v>714</v>
      </c>
      <c r="C18" s="59" t="n">
        <f aca="false">KAC_CHARGE</f>
        <v>1.4</v>
      </c>
      <c r="D18" s="60" t="n">
        <f aca="false">LEAK</f>
        <v>0.04</v>
      </c>
      <c r="E18" s="31" t="n">
        <f aca="false">GWP_R410A</f>
        <v>1725</v>
      </c>
      <c r="F18" s="51" t="n">
        <f aca="false">OCC/KIT_USERS</f>
        <v>0.0625</v>
      </c>
      <c r="G18" s="33" t="n">
        <f aca="false">C18*D18*E18*F18</f>
        <v>6.0375</v>
      </c>
    </row>
    <row r="19" customFormat="false" ht="15" hidden="false" customHeight="false" outlineLevel="0" collapsed="false">
      <c r="A19" s="38" t="s">
        <v>720</v>
      </c>
      <c r="G19" s="15" t="n">
        <f aca="false">F7+H11+H12+G17+G18</f>
        <v>16.4375</v>
      </c>
    </row>
    <row r="21" customFormat="false" ht="15" hidden="false" customHeight="false" outlineLevel="0" collapsed="false">
      <c r="A21" s="10" t="s">
        <v>721</v>
      </c>
      <c r="B21" s="11"/>
      <c r="C21" s="11"/>
      <c r="D21" s="11"/>
      <c r="E21" s="11"/>
      <c r="F21" s="11"/>
      <c r="G21" s="11"/>
      <c r="H21" s="11"/>
    </row>
    <row r="22" customFormat="false" ht="45" hidden="false" customHeight="true" outlineLevel="0" collapsed="false">
      <c r="A22" s="12" t="s">
        <v>722</v>
      </c>
      <c r="B22" s="12" t="s">
        <v>723</v>
      </c>
      <c r="C22" s="12" t="s">
        <v>724</v>
      </c>
      <c r="D22" s="12" t="s">
        <v>725</v>
      </c>
      <c r="E22" s="12" t="s">
        <v>661</v>
      </c>
      <c r="F22" s="12" t="s">
        <v>726</v>
      </c>
    </row>
    <row r="23" customFormat="false" ht="15" hidden="false" customHeight="false" outlineLevel="0" collapsed="false">
      <c r="A23" s="21" t="s">
        <v>727</v>
      </c>
      <c r="B23" s="49" t="n">
        <f aca="false">Inventory!D27</f>
        <v>1219.61081081081</v>
      </c>
      <c r="C23" s="61" t="n">
        <f aca="false">EF_CLP</f>
        <v>0.34</v>
      </c>
      <c r="D23" s="61" t="n">
        <f aca="false">EF_DEFAULT</f>
        <v>0.7</v>
      </c>
      <c r="E23" s="33" t="n">
        <f aca="false">B23*C23</f>
        <v>414.667675675676</v>
      </c>
      <c r="F23" s="33" t="n">
        <f aca="false">B23*D23</f>
        <v>853.727567567568</v>
      </c>
    </row>
    <row r="24" customFormat="false" ht="15" hidden="false" customHeight="false" outlineLevel="0" collapsed="false">
      <c r="A24" s="21" t="s">
        <v>728</v>
      </c>
      <c r="B24" s="49" t="n">
        <f aca="false">Inventory!D28</f>
        <v>782.543106060606</v>
      </c>
      <c r="C24" s="61" t="n">
        <f aca="false">EF_CLP</f>
        <v>0.34</v>
      </c>
      <c r="D24" s="61" t="n">
        <f aca="false">EF_DEFAULT</f>
        <v>0.7</v>
      </c>
      <c r="E24" s="33" t="n">
        <f aca="false">B24*C24</f>
        <v>266.064656060606</v>
      </c>
      <c r="F24" s="33" t="n">
        <f aca="false">B24*D24</f>
        <v>547.780174242424</v>
      </c>
    </row>
    <row r="25" customFormat="false" ht="15" hidden="false" customHeight="false" outlineLevel="0" collapsed="false">
      <c r="A25" s="21" t="s">
        <v>729</v>
      </c>
      <c r="B25" s="49" t="n">
        <f aca="false">Inventory!D29</f>
        <v>490.63375</v>
      </c>
      <c r="C25" s="61" t="n">
        <f aca="false">EF_CLP</f>
        <v>0.34</v>
      </c>
      <c r="D25" s="61" t="n">
        <f aca="false">EF_DEFAULT</f>
        <v>0.7</v>
      </c>
      <c r="E25" s="33" t="n">
        <f aca="false">B25*C25</f>
        <v>166.815475</v>
      </c>
      <c r="F25" s="33" t="n">
        <f aca="false">B25*D25</f>
        <v>343.443625</v>
      </c>
    </row>
    <row r="26" customFormat="false" ht="15" hidden="false" customHeight="false" outlineLevel="0" collapsed="false">
      <c r="A26" s="21" t="s">
        <v>730</v>
      </c>
      <c r="B26" s="49" t="n">
        <f aca="false">Inventory!D30</f>
        <v>93.6</v>
      </c>
      <c r="C26" s="61" t="n">
        <f aca="false">EF_CLP</f>
        <v>0.34</v>
      </c>
      <c r="D26" s="61" t="n">
        <f aca="false">EF_DEFAULT</f>
        <v>0.7</v>
      </c>
      <c r="E26" s="33" t="n">
        <f aca="false">B26*C26</f>
        <v>31.824</v>
      </c>
      <c r="F26" s="33" t="n">
        <f aca="false">B26*D26</f>
        <v>65.52</v>
      </c>
    </row>
    <row r="27" customFormat="false" ht="15" hidden="false" customHeight="false" outlineLevel="0" collapsed="false">
      <c r="A27" s="38" t="s">
        <v>731</v>
      </c>
      <c r="B27" s="42" t="n">
        <f aca="false">SUM(B23:B26)</f>
        <v>2586.38766687142</v>
      </c>
      <c r="E27" s="15" t="n">
        <f aca="false">SUM(E23:E26)</f>
        <v>879.371806736282</v>
      </c>
      <c r="F27" s="15" t="n">
        <f aca="false">SUM(F23:F26)</f>
        <v>1810.47136680999</v>
      </c>
    </row>
    <row r="28" customFormat="false" ht="15" hidden="false" customHeight="false" outlineLevel="0" collapsed="false">
      <c r="A28" s="2" t="s">
        <v>732</v>
      </c>
    </row>
    <row r="30" customFormat="false" ht="15" hidden="false" customHeight="false" outlineLevel="0" collapsed="false">
      <c r="A30" s="10" t="s">
        <v>733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2" t="s">
        <v>734</v>
      </c>
      <c r="B31" s="12" t="s">
        <v>15</v>
      </c>
      <c r="C31" s="12" t="s">
        <v>16</v>
      </c>
      <c r="D31" s="12" t="s">
        <v>735</v>
      </c>
    </row>
    <row r="32" customFormat="false" ht="15" hidden="false" customHeight="false" outlineLevel="0" collapsed="false">
      <c r="A32" s="8" t="s">
        <v>736</v>
      </c>
      <c r="B32" s="43" t="n">
        <f aca="false">SHOWER_LPD</f>
        <v>45</v>
      </c>
      <c r="C32" s="8" t="s">
        <v>393</v>
      </c>
      <c r="D32" s="8" t="s">
        <v>737</v>
      </c>
    </row>
    <row r="33" customFormat="false" ht="15" hidden="false" customHeight="false" outlineLevel="0" collapsed="false">
      <c r="A33" s="8" t="s">
        <v>738</v>
      </c>
      <c r="B33" s="43" t="n">
        <f aca="false">DRINK_L</f>
        <v>2</v>
      </c>
      <c r="C33" s="8" t="s">
        <v>393</v>
      </c>
      <c r="D33" s="8" t="s">
        <v>87</v>
      </c>
    </row>
    <row r="34" customFormat="false" ht="15" hidden="false" customHeight="false" outlineLevel="0" collapsed="false">
      <c r="A34" s="8" t="s">
        <v>739</v>
      </c>
      <c r="B34" s="43" t="n">
        <f aca="false">OTHER_L</f>
        <v>15</v>
      </c>
      <c r="C34" s="8" t="s">
        <v>393</v>
      </c>
      <c r="D34" s="8" t="s">
        <v>238</v>
      </c>
    </row>
    <row r="35" customFormat="false" ht="15" hidden="false" customHeight="false" outlineLevel="0" collapsed="false">
      <c r="A35" s="8" t="s">
        <v>740</v>
      </c>
      <c r="B35" s="43" t="n">
        <f aca="false">WASH_L*LAUNDRY_WK/7</f>
        <v>8.57142857142857</v>
      </c>
      <c r="C35" s="8" t="s">
        <v>393</v>
      </c>
      <c r="D35" s="8" t="s">
        <v>741</v>
      </c>
    </row>
    <row r="36" customFormat="false" ht="15" hidden="false" customHeight="false" outlineLevel="0" collapsed="false">
      <c r="A36" s="8" t="s">
        <v>742</v>
      </c>
      <c r="B36" s="59" t="n">
        <f aca="false">SHEETS_SEM*SEMS*SHEET_G/1000*OCC</f>
        <v>2</v>
      </c>
      <c r="C36" s="8" t="s">
        <v>743</v>
      </c>
      <c r="D36" s="8" t="s">
        <v>744</v>
      </c>
    </row>
    <row r="37" customFormat="false" ht="15" hidden="false" customHeight="false" outlineLevel="0" collapsed="false">
      <c r="A37" s="8" t="s">
        <v>745</v>
      </c>
      <c r="B37" s="59" t="n">
        <f aca="false">B36*RECYCLE</f>
        <v>1</v>
      </c>
      <c r="C37" s="8" t="s">
        <v>746</v>
      </c>
      <c r="D37" s="8" t="s">
        <v>747</v>
      </c>
    </row>
    <row r="38" customFormat="false" ht="15" hidden="false" customHeight="false" outlineLevel="0" collapsed="false">
      <c r="A38" s="8" t="s">
        <v>748</v>
      </c>
      <c r="B38" s="25" t="n">
        <v>0</v>
      </c>
      <c r="C38" s="8" t="s">
        <v>237</v>
      </c>
      <c r="D38" s="8" t="s">
        <v>749</v>
      </c>
    </row>
    <row r="40" customFormat="false" ht="15" hidden="false" customHeight="false" outlineLevel="0" collapsed="false">
      <c r="A40" s="8" t="s">
        <v>750</v>
      </c>
      <c r="B40" s="43" t="n">
        <f aca="false">SUM(B32:B35)</f>
        <v>70.5714285714286</v>
      </c>
      <c r="C40" s="8" t="s">
        <v>393</v>
      </c>
      <c r="D40" s="8"/>
    </row>
    <row r="41" customFormat="false" ht="15" hidden="false" customHeight="false" outlineLevel="0" collapsed="false">
      <c r="A41" s="8" t="s">
        <v>751</v>
      </c>
      <c r="B41" s="43" t="n">
        <f aca="false">B40*365*OCC/1000</f>
        <v>51.5171428571429</v>
      </c>
      <c r="C41" s="8" t="s">
        <v>531</v>
      </c>
      <c r="D41" s="8"/>
    </row>
    <row r="42" customFormat="false" ht="15" hidden="false" customHeight="false" outlineLevel="0" collapsed="false">
      <c r="A42" s="8" t="s">
        <v>752</v>
      </c>
      <c r="B42" s="43" t="n">
        <f aca="false">FLUSH_L*365*OCC/1000</f>
        <v>21.9</v>
      </c>
      <c r="C42" s="8" t="s">
        <v>531</v>
      </c>
      <c r="D42" s="8" t="s">
        <v>753</v>
      </c>
    </row>
    <row r="44" customFormat="false" ht="30" hidden="false" customHeight="true" outlineLevel="0" collapsed="false">
      <c r="A44" s="12" t="s">
        <v>754</v>
      </c>
      <c r="B44" s="12" t="s">
        <v>734</v>
      </c>
      <c r="C44" s="12" t="s">
        <v>16</v>
      </c>
      <c r="D44" s="12" t="s">
        <v>755</v>
      </c>
      <c r="E44" s="12" t="s">
        <v>756</v>
      </c>
      <c r="F44" s="12" t="s">
        <v>31</v>
      </c>
      <c r="G44" s="12" t="s">
        <v>757</v>
      </c>
    </row>
    <row r="45" customFormat="false" ht="15" hidden="false" customHeight="false" outlineLevel="0" collapsed="false">
      <c r="A45" s="8" t="s">
        <v>758</v>
      </c>
      <c r="B45" s="37" t="n">
        <f aca="false">B38+B36-B37-B38</f>
        <v>1</v>
      </c>
      <c r="C45" s="8" t="s">
        <v>237</v>
      </c>
      <c r="D45" s="61" t="n">
        <f aca="false">PAPER_EF</f>
        <v>4.8</v>
      </c>
      <c r="E45" s="8" t="s">
        <v>183</v>
      </c>
      <c r="F45" s="33" t="n">
        <f aca="false">B45*D45</f>
        <v>4.8</v>
      </c>
      <c r="G45" s="8" t="s">
        <v>759</v>
      </c>
    </row>
    <row r="46" customFormat="false" ht="15" hidden="false" customHeight="false" outlineLevel="0" collapsed="false">
      <c r="A46" s="8" t="s">
        <v>760</v>
      </c>
      <c r="B46" s="37" t="n">
        <f aca="false">B41</f>
        <v>51.5171428571429</v>
      </c>
      <c r="C46" s="8" t="s">
        <v>761</v>
      </c>
      <c r="D46" s="61" t="n">
        <f aca="false">WSD_FRESH*EF_DEFAULT</f>
        <v>0.4368</v>
      </c>
      <c r="E46" s="8" t="s">
        <v>762</v>
      </c>
      <c r="F46" s="33" t="n">
        <f aca="false">B46*D46</f>
        <v>22.502688</v>
      </c>
      <c r="G46" s="8" t="s">
        <v>763</v>
      </c>
    </row>
    <row r="47" customFormat="false" ht="15" hidden="false" customHeight="false" outlineLevel="0" collapsed="false">
      <c r="A47" s="8" t="s">
        <v>764</v>
      </c>
      <c r="B47" s="37" t="n">
        <f aca="false">B41*SEWER_FRAC</f>
        <v>51.5171428571429</v>
      </c>
      <c r="C47" s="8" t="s">
        <v>761</v>
      </c>
      <c r="D47" s="61" t="n">
        <f aca="false">DSD_KWH*EF_DEFAULT</f>
        <v>0.203</v>
      </c>
      <c r="E47" s="8" t="s">
        <v>762</v>
      </c>
      <c r="F47" s="33" t="n">
        <f aca="false">B47*D47</f>
        <v>10.45798</v>
      </c>
      <c r="G47" s="8" t="s">
        <v>765</v>
      </c>
    </row>
    <row r="48" customFormat="false" ht="15" hidden="false" customHeight="false" outlineLevel="0" collapsed="false">
      <c r="A48" s="8" t="s">
        <v>766</v>
      </c>
      <c r="B48" s="37" t="n">
        <f aca="false">B42</f>
        <v>21.9</v>
      </c>
      <c r="C48" s="8" t="s">
        <v>761</v>
      </c>
      <c r="D48" s="61" t="n">
        <f aca="false">WSD_SALT*EF_DEFAULT</f>
        <v>0.2534</v>
      </c>
      <c r="E48" s="8" t="s">
        <v>762</v>
      </c>
      <c r="F48" s="33" t="n">
        <f aca="false">B48*D48</f>
        <v>5.54946</v>
      </c>
      <c r="G48" s="8" t="s">
        <v>767</v>
      </c>
    </row>
    <row r="49" customFormat="false" ht="15" hidden="false" customHeight="false" outlineLevel="0" collapsed="false">
      <c r="A49" s="38" t="s">
        <v>768</v>
      </c>
      <c r="F49" s="15" t="n">
        <f aca="false">SUM(F45:F48)</f>
        <v>43.310128</v>
      </c>
    </row>
    <row r="51" customFormat="false" ht="15" hidden="false" customHeight="false" outlineLevel="0" collapsed="false">
      <c r="A51" s="10" t="s">
        <v>769</v>
      </c>
      <c r="B51" s="11"/>
      <c r="C51" s="11"/>
      <c r="D51" s="11"/>
      <c r="E51" s="11"/>
      <c r="F51" s="11"/>
      <c r="G51" s="11"/>
      <c r="H51" s="11"/>
    </row>
    <row r="52" customFormat="false" ht="45" hidden="false" customHeight="true" outlineLevel="0" collapsed="false">
      <c r="A52" s="12" t="s">
        <v>770</v>
      </c>
      <c r="B52" s="12" t="s">
        <v>771</v>
      </c>
      <c r="C52" s="12" t="s">
        <v>772</v>
      </c>
      <c r="D52" s="12" t="s">
        <v>773</v>
      </c>
      <c r="E52" s="12" t="s">
        <v>774</v>
      </c>
      <c r="F52" s="12" t="s">
        <v>775</v>
      </c>
      <c r="G52" s="12" t="s">
        <v>776</v>
      </c>
    </row>
    <row r="53" customFormat="false" ht="15" hidden="false" customHeight="false" outlineLevel="0" collapsed="false">
      <c r="A53" s="8" t="s">
        <v>777</v>
      </c>
      <c r="B53" s="33" t="n">
        <f aca="false">G19</f>
        <v>16.4375</v>
      </c>
      <c r="C53" s="33" t="n">
        <f aca="false">G19</f>
        <v>16.4375</v>
      </c>
      <c r="D53" s="35" t="n">
        <f aca="false">B53/1000</f>
        <v>0.0164375</v>
      </c>
      <c r="E53" s="36" t="n">
        <f aca="false">B53/$B$56</f>
        <v>0.0175030985325268</v>
      </c>
      <c r="F53" s="33" t="n">
        <f aca="false">B53/OCC</f>
        <v>8.21875</v>
      </c>
      <c r="G53" s="33" t="n">
        <f aca="false">C53/OCC</f>
        <v>8.21875</v>
      </c>
    </row>
    <row r="54" customFormat="false" ht="15" hidden="false" customHeight="false" outlineLevel="0" collapsed="false">
      <c r="A54" s="8" t="s">
        <v>778</v>
      </c>
      <c r="B54" s="33" t="n">
        <f aca="false">E27</f>
        <v>879.371806736282</v>
      </c>
      <c r="C54" s="33" t="n">
        <f aca="false">F27</f>
        <v>1810.47136680999</v>
      </c>
      <c r="D54" s="35" t="n">
        <f aca="false">B54/1000</f>
        <v>0.879371806736282</v>
      </c>
      <c r="E54" s="36" t="n">
        <f aca="false">B54/$B$56</f>
        <v>0.936379095363118</v>
      </c>
      <c r="F54" s="33" t="n">
        <f aca="false">B54/OCC</f>
        <v>439.685903368141</v>
      </c>
      <c r="G54" s="33" t="n">
        <f aca="false">C54/OCC</f>
        <v>905.235683404996</v>
      </c>
    </row>
    <row r="55" customFormat="false" ht="15" hidden="false" customHeight="false" outlineLevel="0" collapsed="false">
      <c r="A55" s="8" t="s">
        <v>779</v>
      </c>
      <c r="B55" s="33" t="n">
        <f aca="false">F49</f>
        <v>43.310128</v>
      </c>
      <c r="C55" s="33" t="n">
        <f aca="false">F49</f>
        <v>43.310128</v>
      </c>
      <c r="D55" s="35" t="n">
        <f aca="false">B55/1000</f>
        <v>0.043310128</v>
      </c>
      <c r="E55" s="36" t="n">
        <f aca="false">B55/$B$56</f>
        <v>0.0461178061043557</v>
      </c>
      <c r="F55" s="33" t="n">
        <f aca="false">B55/OCC</f>
        <v>21.655064</v>
      </c>
      <c r="G55" s="33" t="n">
        <f aca="false">C55/OCC</f>
        <v>21.655064</v>
      </c>
    </row>
    <row r="56" customFormat="false" ht="15" hidden="false" customHeight="false" outlineLevel="0" collapsed="false">
      <c r="A56" s="38" t="s">
        <v>780</v>
      </c>
      <c r="B56" s="15" t="n">
        <f aca="false">SUM(B53:B55)</f>
        <v>939.119434736282</v>
      </c>
      <c r="C56" s="15" t="n">
        <f aca="false">SUM(C53:C55)</f>
        <v>1870.21899480999</v>
      </c>
      <c r="D56" s="62" t="n">
        <f aca="false">SUM(D53:D55)</f>
        <v>0.939119434736282</v>
      </c>
      <c r="E56" s="16" t="n">
        <f aca="false">SUM(E53:E55)</f>
        <v>1</v>
      </c>
      <c r="F56" s="15" t="n">
        <f aca="false">SUM(F53:F55)</f>
        <v>469.559717368141</v>
      </c>
      <c r="G56" s="15" t="n">
        <f aca="false">SUM(G53:G55)</f>
        <v>935.109497404996</v>
      </c>
    </row>
    <row r="57" customFormat="false" ht="15" hidden="false" customHeight="false" outlineLevel="0" collapsed="false">
      <c r="A57" s="8" t="s">
        <v>781</v>
      </c>
      <c r="B57" s="33" t="n">
        <f aca="false">E23/ROOM_AREA</f>
        <v>27.6445117117117</v>
      </c>
      <c r="C57" s="8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783</v>
      </c>
    </row>
    <row r="2" customFormat="false" ht="15" hidden="false" customHeight="false" outlineLevel="0" collapsed="false">
      <c r="A2" s="2" t="s">
        <v>784</v>
      </c>
    </row>
    <row r="5" customFormat="false" ht="30" hidden="false" customHeight="true" outlineLevel="0" collapsed="false">
      <c r="A5" s="12" t="s">
        <v>785</v>
      </c>
      <c r="B5" s="12" t="s">
        <v>734</v>
      </c>
      <c r="C5" s="12" t="s">
        <v>16</v>
      </c>
      <c r="D5" s="12" t="s">
        <v>755</v>
      </c>
      <c r="E5" s="12" t="s">
        <v>756</v>
      </c>
      <c r="F5" s="12" t="s">
        <v>31</v>
      </c>
      <c r="G5" s="12" t="s">
        <v>735</v>
      </c>
    </row>
    <row r="6" customFormat="false" ht="15" hidden="false" customHeight="false" outlineLevel="0" collapsed="false">
      <c r="A6" s="8" t="s">
        <v>786</v>
      </c>
      <c r="B6" s="34" t="n">
        <f aca="false">COMMUTE_KM_WK*WEEKS</f>
        <v>10368</v>
      </c>
      <c r="C6" s="8" t="s">
        <v>787</v>
      </c>
      <c r="D6" s="63" t="n">
        <f aca="false">MTR_EF</f>
        <v>0.0723</v>
      </c>
      <c r="E6" s="8" t="s">
        <v>434</v>
      </c>
      <c r="F6" s="33" t="n">
        <f aca="false">B6*D6</f>
        <v>749.6064</v>
      </c>
      <c r="G6" s="8" t="s">
        <v>788</v>
      </c>
    </row>
    <row r="7" customFormat="false" ht="15" hidden="false" customHeight="false" outlineLevel="0" collapsed="false">
      <c r="A7" s="8" t="s">
        <v>789</v>
      </c>
      <c r="B7" s="34" t="n">
        <f aca="false">HOME_KM_MONTH*MONTHS_IN_HK</f>
        <v>1452</v>
      </c>
      <c r="C7" s="8" t="s">
        <v>787</v>
      </c>
      <c r="D7" s="63" t="n">
        <f aca="false">MTR_EF</f>
        <v>0.0723</v>
      </c>
      <c r="E7" s="8" t="s">
        <v>434</v>
      </c>
      <c r="F7" s="33" t="n">
        <f aca="false">B7*D7</f>
        <v>104.9796</v>
      </c>
      <c r="G7" s="8" t="s">
        <v>790</v>
      </c>
    </row>
    <row r="8" customFormat="false" ht="15" hidden="false" customHeight="false" outlineLevel="0" collapsed="false">
      <c r="A8" s="8" t="s">
        <v>791</v>
      </c>
      <c r="B8" s="34" t="n">
        <f aca="false">D18</f>
        <v>14334.516</v>
      </c>
      <c r="C8" s="8" t="s">
        <v>787</v>
      </c>
      <c r="D8" s="51" t="n">
        <f aca="false">F8/B8</f>
        <v>0.118032048038455</v>
      </c>
      <c r="E8" s="8" t="s">
        <v>434</v>
      </c>
      <c r="F8" s="33" t="n">
        <f aca="false">F18</f>
        <v>1691.93228112</v>
      </c>
      <c r="G8" s="8" t="s">
        <v>792</v>
      </c>
    </row>
    <row r="9" customFormat="false" ht="15" hidden="false" customHeight="false" outlineLevel="0" collapsed="false">
      <c r="A9" s="8" t="s">
        <v>793</v>
      </c>
      <c r="B9" s="18" t="n">
        <v>365</v>
      </c>
      <c r="C9" s="8" t="s">
        <v>118</v>
      </c>
      <c r="D9" s="59" t="n">
        <f aca="false">DIET_EF</f>
        <v>5.63</v>
      </c>
      <c r="E9" s="8" t="s">
        <v>449</v>
      </c>
      <c r="F9" s="33" t="n">
        <f aca="false">B9*D9</f>
        <v>2054.95</v>
      </c>
      <c r="G9" s="8" t="s">
        <v>794</v>
      </c>
    </row>
    <row r="10" customFormat="false" ht="15" hidden="false" customHeight="false" outlineLevel="0" collapsed="false">
      <c r="A10" s="38" t="s">
        <v>795</v>
      </c>
      <c r="F10" s="15" t="n">
        <f aca="false">SUM(F6:F9)</f>
        <v>4601.46828112</v>
      </c>
    </row>
    <row r="13" customFormat="false" ht="30" hidden="false" customHeight="true" outlineLevel="0" collapsed="false">
      <c r="A13" s="12" t="s">
        <v>796</v>
      </c>
      <c r="B13" s="12" t="s">
        <v>797</v>
      </c>
      <c r="C13" s="12" t="s">
        <v>798</v>
      </c>
      <c r="D13" s="12" t="s">
        <v>799</v>
      </c>
      <c r="E13" s="12" t="s">
        <v>800</v>
      </c>
      <c r="F13" s="12" t="s">
        <v>801</v>
      </c>
    </row>
    <row r="14" customFormat="false" ht="15" hidden="false" customHeight="false" outlineLevel="0" collapsed="false">
      <c r="A14" s="8" t="s">
        <v>802</v>
      </c>
      <c r="B14" s="18" t="n">
        <v>3747</v>
      </c>
      <c r="C14" s="6" t="s">
        <v>803</v>
      </c>
      <c r="D14" s="34" t="n">
        <f aca="false">B14*FL_UPLIFT</f>
        <v>4046.76</v>
      </c>
      <c r="E14" s="64" t="n">
        <f aca="false">IF(C14="Long-haul",EF_LONG,EF_SHORT)</f>
        <v>0.11704</v>
      </c>
      <c r="F14" s="33" t="n">
        <f aca="false">D14*E14</f>
        <v>473.6327904</v>
      </c>
    </row>
    <row r="15" customFormat="false" ht="15" hidden="false" customHeight="false" outlineLevel="0" collapsed="false">
      <c r="A15" s="8" t="s">
        <v>804</v>
      </c>
      <c r="B15" s="18" t="n">
        <v>3747</v>
      </c>
      <c r="C15" s="6" t="s">
        <v>803</v>
      </c>
      <c r="D15" s="34" t="n">
        <f aca="false">B15*FL_UPLIFT</f>
        <v>4046.76</v>
      </c>
      <c r="E15" s="64" t="n">
        <f aca="false">IF(C15="Long-haul",EF_LONG,EF_SHORT)</f>
        <v>0.11704</v>
      </c>
      <c r="F15" s="33" t="n">
        <f aca="false">D15*E15</f>
        <v>473.6327904</v>
      </c>
    </row>
    <row r="16" customFormat="false" ht="15" hidden="false" customHeight="false" outlineLevel="0" collapsed="false">
      <c r="A16" s="8" t="s">
        <v>805</v>
      </c>
      <c r="B16" s="18" t="n">
        <v>1503.1</v>
      </c>
      <c r="C16" s="6" t="s">
        <v>806</v>
      </c>
      <c r="D16" s="34" t="n">
        <f aca="false">B16*FL_UPLIFT</f>
        <v>1623.348</v>
      </c>
      <c r="E16" s="64" t="n">
        <f aca="false">IF(C16="Long-haul",EF_LONG,EF_SHORT)</f>
        <v>0.1258</v>
      </c>
      <c r="F16" s="33" t="n">
        <f aca="false">D16*E16</f>
        <v>204.2171784</v>
      </c>
    </row>
    <row r="17" customFormat="false" ht="15" hidden="false" customHeight="false" outlineLevel="0" collapsed="false">
      <c r="A17" s="8" t="s">
        <v>807</v>
      </c>
      <c r="B17" s="18" t="n">
        <v>4275.6</v>
      </c>
      <c r="C17" s="6" t="s">
        <v>803</v>
      </c>
      <c r="D17" s="34" t="n">
        <f aca="false">B17*FL_UPLIFT</f>
        <v>4617.648</v>
      </c>
      <c r="E17" s="64" t="n">
        <f aca="false">IF(C17="Long-haul",EF_LONG,EF_SHORT)</f>
        <v>0.11704</v>
      </c>
      <c r="F17" s="33" t="n">
        <f aca="false">D17*E17</f>
        <v>540.44952192</v>
      </c>
    </row>
    <row r="18" customFormat="false" ht="15" hidden="false" customHeight="false" outlineLevel="0" collapsed="false">
      <c r="A18" s="38" t="s">
        <v>808</v>
      </c>
      <c r="B18" s="39" t="n">
        <f aca="false">SUM(B14:B17)</f>
        <v>13272.7</v>
      </c>
      <c r="D18" s="39" t="n">
        <f aca="false">SUM(D14:D17)</f>
        <v>14334.516</v>
      </c>
      <c r="F18" s="42" t="n">
        <f aca="false">SUM(F14:F17)</f>
        <v>1691.93228112</v>
      </c>
    </row>
    <row r="21" customFormat="false" ht="30" hidden="false" customHeight="true" outlineLevel="0" collapsed="false">
      <c r="A21" s="12" t="s">
        <v>809</v>
      </c>
      <c r="B21" s="12" t="s">
        <v>31</v>
      </c>
      <c r="C21" s="12" t="s">
        <v>810</v>
      </c>
    </row>
    <row r="22" customFormat="false" ht="15" hidden="false" customHeight="false" outlineLevel="0" collapsed="false">
      <c r="A22" s="8" t="s">
        <v>811</v>
      </c>
      <c r="B22" s="33" t="n">
        <f aca="false">TOT_CLP/OCC</f>
        <v>469.559717368141</v>
      </c>
      <c r="C22" s="36" t="n">
        <f aca="false">B22/$B$26</f>
        <v>0.0925965538956073</v>
      </c>
    </row>
    <row r="23" customFormat="false" ht="15" hidden="false" customHeight="false" outlineLevel="0" collapsed="false">
      <c r="A23" s="8" t="s">
        <v>812</v>
      </c>
      <c r="B23" s="33" t="n">
        <f aca="false">F6+F7</f>
        <v>854.586</v>
      </c>
      <c r="C23" s="36" t="n">
        <f aca="false">B23/$B$26</f>
        <v>0.168523226504524</v>
      </c>
    </row>
    <row r="24" customFormat="false" ht="15" hidden="false" customHeight="false" outlineLevel="0" collapsed="false">
      <c r="A24" s="8" t="s">
        <v>813</v>
      </c>
      <c r="B24" s="33" t="n">
        <f aca="false">F8</f>
        <v>1691.93228112</v>
      </c>
      <c r="C24" s="36" t="n">
        <f aca="false">B24/$B$26</f>
        <v>0.333646803295984</v>
      </c>
    </row>
    <row r="25" customFormat="false" ht="15" hidden="false" customHeight="false" outlineLevel="0" collapsed="false">
      <c r="A25" s="8" t="s">
        <v>814</v>
      </c>
      <c r="B25" s="33" t="n">
        <f aca="false">F9</f>
        <v>2054.95</v>
      </c>
      <c r="C25" s="36" t="n">
        <f aca="false">B25/$B$26</f>
        <v>0.405233416303885</v>
      </c>
    </row>
    <row r="26" customFormat="false" ht="15" hidden="false" customHeight="false" outlineLevel="0" collapsed="false">
      <c r="A26" s="38" t="s">
        <v>815</v>
      </c>
      <c r="B26" s="15" t="n">
        <f aca="false">SUM(B22:B25)</f>
        <v>5071.02799848814</v>
      </c>
      <c r="C26" s="52" t="n">
        <f aca="false">SUM(C22:C25)</f>
        <v>1</v>
      </c>
    </row>
    <row r="27" customFormat="false" ht="15" hidden="false" customHeight="false" outlineLevel="0" collapsed="false">
      <c r="A27" s="8" t="s">
        <v>816</v>
      </c>
      <c r="B27" s="49" t="n">
        <f aca="false">BM_HK_T*1000</f>
        <v>4580</v>
      </c>
    </row>
    <row r="28" customFormat="false" ht="15" hidden="false" customHeight="false" outlineLevel="0" collapsed="false">
      <c r="A28" s="8" t="s">
        <v>817</v>
      </c>
      <c r="B28" s="37" t="n">
        <f aca="false">B26/B27</f>
        <v>1.10721135338169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10" min="7" style="0" width="11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11"/>
    <col collapsed="false" customWidth="true" hidden="false" outlineLevel="0" max="15" min="15" style="0" width="22"/>
  </cols>
  <sheetData>
    <row r="1" customFormat="false" ht="17.35" hidden="false" customHeight="false" outlineLevel="0" collapsed="false">
      <c r="A1" s="1" t="s">
        <v>818</v>
      </c>
    </row>
    <row r="2" customFormat="false" ht="15" hidden="false" customHeight="false" outlineLevel="0" collapsed="false">
      <c r="A2" s="2" t="s">
        <v>819</v>
      </c>
    </row>
    <row r="5" customFormat="false" ht="57.75" hidden="false" customHeight="true" outlineLevel="0" collapsed="false">
      <c r="A5" s="12" t="s">
        <v>820</v>
      </c>
      <c r="B5" s="12" t="s">
        <v>821</v>
      </c>
      <c r="C5" s="12" t="s">
        <v>822</v>
      </c>
      <c r="D5" s="12" t="s">
        <v>823</v>
      </c>
      <c r="E5" s="12" t="s">
        <v>824</v>
      </c>
      <c r="F5" s="12" t="s">
        <v>825</v>
      </c>
      <c r="G5" s="12" t="s">
        <v>826</v>
      </c>
      <c r="H5" s="12" t="s">
        <v>827</v>
      </c>
      <c r="I5" s="12" t="s">
        <v>828</v>
      </c>
      <c r="J5" s="12" t="s">
        <v>829</v>
      </c>
      <c r="K5" s="12" t="s">
        <v>830</v>
      </c>
      <c r="L5" s="12" t="s">
        <v>831</v>
      </c>
      <c r="M5" s="12" t="s">
        <v>832</v>
      </c>
      <c r="N5" s="12" t="s">
        <v>833</v>
      </c>
      <c r="O5" s="12" t="s">
        <v>834</v>
      </c>
    </row>
    <row r="6" customFormat="false" ht="23.85" hidden="false" customHeight="false" outlineLevel="0" collapsed="false">
      <c r="A6" s="17" t="s">
        <v>835</v>
      </c>
      <c r="B6" s="65" t="s">
        <v>836</v>
      </c>
      <c r="C6" s="65" t="s">
        <v>837</v>
      </c>
      <c r="D6" s="21" t="s">
        <v>838</v>
      </c>
      <c r="E6" s="21" t="s">
        <v>839</v>
      </c>
      <c r="F6" s="21" t="s">
        <v>840</v>
      </c>
      <c r="G6" s="33" t="n">
        <f aca="false">AC_KWH*DEG_SAVING*(26-AC_SETPOINT)</f>
        <v>24.3243243243243</v>
      </c>
      <c r="H6" s="33" t="n">
        <f aca="false">G6</f>
        <v>24.3243243243243</v>
      </c>
      <c r="I6" s="32" t="n">
        <f aca="false">H6*TARIFF</f>
        <v>34.2</v>
      </c>
      <c r="J6" s="66" t="n">
        <v>0</v>
      </c>
      <c r="K6" s="44" t="n">
        <f aca="false">IF(J6=0,0,IFERROR(J6/(G6*TARIFF),"n/a"))</f>
        <v>0</v>
      </c>
      <c r="L6" s="6" t="s">
        <v>179</v>
      </c>
      <c r="M6" s="33" t="n">
        <f aca="false">G6*EF_CLP</f>
        <v>8.27027027027027</v>
      </c>
      <c r="N6" s="33" t="n">
        <f aca="false">H6*EF_CLP</f>
        <v>8.27027027027027</v>
      </c>
      <c r="O6" s="21" t="s">
        <v>841</v>
      </c>
    </row>
    <row r="7" customFormat="false" ht="23.85" hidden="false" customHeight="false" outlineLevel="0" collapsed="false">
      <c r="A7" s="17" t="s">
        <v>842</v>
      </c>
      <c r="B7" s="65" t="s">
        <v>836</v>
      </c>
      <c r="C7" s="65" t="s">
        <v>837</v>
      </c>
      <c r="D7" s="21" t="s">
        <v>838</v>
      </c>
      <c r="E7" s="21" t="s">
        <v>843</v>
      </c>
      <c r="F7" s="21" t="s">
        <v>844</v>
      </c>
      <c r="G7" s="33" t="n">
        <f aca="false">AC_KWH_HOT*2/AC_H_HOT</f>
        <v>99.5732574679943</v>
      </c>
      <c r="H7" s="33" t="n">
        <f aca="false">G7</f>
        <v>99.5732574679943</v>
      </c>
      <c r="I7" s="32" t="n">
        <f aca="false">H7*TARIFF</f>
        <v>140</v>
      </c>
      <c r="J7" s="66" t="n">
        <v>0</v>
      </c>
      <c r="K7" s="44" t="n">
        <f aca="false">IF(J7=0,0,IFERROR(J7/(G7*TARIFF),"n/a"))</f>
        <v>0</v>
      </c>
      <c r="L7" s="6" t="s">
        <v>179</v>
      </c>
      <c r="M7" s="33" t="n">
        <f aca="false">G7*EF_CLP</f>
        <v>33.8549075391181</v>
      </c>
      <c r="N7" s="33" t="n">
        <f aca="false">H7*EF_CLP</f>
        <v>33.8549075391181</v>
      </c>
      <c r="O7" s="21" t="s">
        <v>841</v>
      </c>
    </row>
    <row r="8" customFormat="false" ht="23.85" hidden="false" customHeight="false" outlineLevel="0" collapsed="false">
      <c r="A8" s="17" t="s">
        <v>845</v>
      </c>
      <c r="B8" s="65" t="s">
        <v>836</v>
      </c>
      <c r="C8" s="65" t="s">
        <v>837</v>
      </c>
      <c r="D8" s="21" t="s">
        <v>838</v>
      </c>
      <c r="E8" s="21" t="s">
        <v>846</v>
      </c>
      <c r="F8" s="21" t="s">
        <v>847</v>
      </c>
      <c r="G8" s="33" t="n">
        <f aca="false">AC_KWH*0.05</f>
        <v>40.5405405405406</v>
      </c>
      <c r="H8" s="33" t="n">
        <f aca="false">G8</f>
        <v>40.5405405405406</v>
      </c>
      <c r="I8" s="32" t="n">
        <f aca="false">H8*TARIFF</f>
        <v>57</v>
      </c>
      <c r="J8" s="66" t="n">
        <v>0</v>
      </c>
      <c r="K8" s="44" t="n">
        <f aca="false">IF(J8=0,0,IFERROR(J8/(G8*TARIFF),"n/a"))</f>
        <v>0</v>
      </c>
      <c r="L8" s="6" t="s">
        <v>179</v>
      </c>
      <c r="M8" s="33" t="n">
        <f aca="false">G8*EF_CLP</f>
        <v>13.7837837837838</v>
      </c>
      <c r="N8" s="33" t="n">
        <f aca="false">H8*EF_CLP</f>
        <v>13.7837837837838</v>
      </c>
      <c r="O8" s="21" t="s">
        <v>841</v>
      </c>
    </row>
    <row r="9" customFormat="false" ht="23.85" hidden="false" customHeight="false" outlineLevel="0" collapsed="false">
      <c r="A9" s="17" t="s">
        <v>848</v>
      </c>
      <c r="B9" s="65" t="s">
        <v>836</v>
      </c>
      <c r="C9" s="65" t="s">
        <v>849</v>
      </c>
      <c r="D9" s="21" t="s">
        <v>838</v>
      </c>
      <c r="E9" s="21" t="s">
        <v>850</v>
      </c>
      <c r="F9" s="21" t="s">
        <v>851</v>
      </c>
      <c r="G9" s="33" t="n">
        <f aca="false">CEIL_N*CEIL_W*3*365/1000</f>
        <v>43.8</v>
      </c>
      <c r="H9" s="33" t="n">
        <f aca="false">G9</f>
        <v>43.8</v>
      </c>
      <c r="I9" s="32" t="n">
        <f aca="false">H9*TARIFF</f>
        <v>61.5828</v>
      </c>
      <c r="J9" s="66" t="n">
        <v>0</v>
      </c>
      <c r="K9" s="44" t="n">
        <f aca="false">IF(J9=0,0,IFERROR(J9/(G9*TARIFF),"n/a"))</f>
        <v>0</v>
      </c>
      <c r="L9" s="6" t="s">
        <v>179</v>
      </c>
      <c r="M9" s="33" t="n">
        <f aca="false">G9*EF_CLP</f>
        <v>14.892</v>
      </c>
      <c r="N9" s="33" t="n">
        <f aca="false">H9*EF_CLP</f>
        <v>14.892</v>
      </c>
      <c r="O9" s="21" t="s">
        <v>841</v>
      </c>
    </row>
    <row r="10" customFormat="false" ht="15" hidden="false" customHeight="false" outlineLevel="0" collapsed="false">
      <c r="A10" s="17" t="s">
        <v>852</v>
      </c>
      <c r="B10" s="65" t="s">
        <v>836</v>
      </c>
      <c r="C10" s="65" t="s">
        <v>575</v>
      </c>
      <c r="D10" s="21" t="s">
        <v>838</v>
      </c>
      <c r="E10" s="21" t="s">
        <v>853</v>
      </c>
      <c r="F10" s="21" t="s">
        <v>854</v>
      </c>
      <c r="G10" s="33" t="n">
        <f aca="false">HW_KWH*(1-4/SHOWER_MIN)</f>
        <v>126.943621212121</v>
      </c>
      <c r="H10" s="33" t="n">
        <f aca="false">G10</f>
        <v>126.943621212121</v>
      </c>
      <c r="I10" s="32" t="n">
        <f aca="false">H10*TARIFF</f>
        <v>178.482731424242</v>
      </c>
      <c r="J10" s="66" t="n">
        <v>0</v>
      </c>
      <c r="K10" s="44" t="n">
        <f aca="false">IF(J10=0,0,IFERROR(J10/(G10*TARIFF),"n/a"))</f>
        <v>0</v>
      </c>
      <c r="L10" s="6" t="s">
        <v>179</v>
      </c>
      <c r="M10" s="33" t="n">
        <f aca="false">G10*EF_CLP</f>
        <v>43.1608312121212</v>
      </c>
      <c r="N10" s="33" t="n">
        <f aca="false">H10*EF_CLP</f>
        <v>43.1608312121212</v>
      </c>
      <c r="O10" s="21" t="s">
        <v>841</v>
      </c>
    </row>
    <row r="11" customFormat="false" ht="23.85" hidden="false" customHeight="false" outlineLevel="0" collapsed="false">
      <c r="A11" s="17" t="s">
        <v>855</v>
      </c>
      <c r="B11" s="65" t="s">
        <v>836</v>
      </c>
      <c r="C11" s="65" t="s">
        <v>575</v>
      </c>
      <c r="D11" s="21" t="s">
        <v>838</v>
      </c>
      <c r="E11" s="21" t="s">
        <v>856</v>
      </c>
      <c r="F11" s="21" t="s">
        <v>857</v>
      </c>
      <c r="G11" s="33" t="n">
        <f aca="false">HW_KWH*2/HW_AVG_DT</f>
        <v>77.1661616161616</v>
      </c>
      <c r="H11" s="33" t="n">
        <f aca="false">G11</f>
        <v>77.1661616161616</v>
      </c>
      <c r="I11" s="32" t="n">
        <f aca="false">H11*TARIFF</f>
        <v>108.495623232323</v>
      </c>
      <c r="J11" s="66" t="n">
        <v>0</v>
      </c>
      <c r="K11" s="44" t="n">
        <f aca="false">IF(J11=0,0,IFERROR(J11/(G11*TARIFF),"n/a"))</f>
        <v>0</v>
      </c>
      <c r="L11" s="6" t="s">
        <v>179</v>
      </c>
      <c r="M11" s="33" t="n">
        <f aca="false">G11*EF_CLP</f>
        <v>26.236494949495</v>
      </c>
      <c r="N11" s="33" t="n">
        <f aca="false">H11*EF_CLP</f>
        <v>26.236494949495</v>
      </c>
      <c r="O11" s="21" t="s">
        <v>841</v>
      </c>
    </row>
    <row r="12" customFormat="false" ht="23.85" hidden="false" customHeight="false" outlineLevel="0" collapsed="false">
      <c r="A12" s="17" t="s">
        <v>858</v>
      </c>
      <c r="B12" s="65" t="s">
        <v>836</v>
      </c>
      <c r="C12" s="65" t="s">
        <v>859</v>
      </c>
      <c r="D12" s="21" t="s">
        <v>838</v>
      </c>
      <c r="E12" s="21" t="s">
        <v>860</v>
      </c>
      <c r="F12" s="21" t="s">
        <v>861</v>
      </c>
      <c r="G12" s="33" t="n">
        <f aca="false">Inventory!J11*0.15</f>
        <v>28.47</v>
      </c>
      <c r="H12" s="33" t="n">
        <f aca="false">G12</f>
        <v>28.47</v>
      </c>
      <c r="I12" s="32" t="n">
        <f aca="false">H12*TARIFF</f>
        <v>40.02882</v>
      </c>
      <c r="J12" s="66" t="n">
        <v>0</v>
      </c>
      <c r="K12" s="44" t="n">
        <f aca="false">IF(J12=0,0,IFERROR(J12/(G12*TARIFF),"n/a"))</f>
        <v>0</v>
      </c>
      <c r="L12" s="6" t="s">
        <v>179</v>
      </c>
      <c r="M12" s="33" t="n">
        <f aca="false">G12*EF_CLP</f>
        <v>9.6798</v>
      </c>
      <c r="N12" s="33" t="n">
        <f aca="false">H12*EF_CLP</f>
        <v>9.6798</v>
      </c>
      <c r="O12" s="21" t="s">
        <v>841</v>
      </c>
    </row>
    <row r="13" customFormat="false" ht="23.85" hidden="false" customHeight="false" outlineLevel="0" collapsed="false">
      <c r="A13" s="17" t="s">
        <v>862</v>
      </c>
      <c r="B13" s="65" t="s">
        <v>836</v>
      </c>
      <c r="C13" s="65" t="s">
        <v>575</v>
      </c>
      <c r="D13" s="21" t="s">
        <v>838</v>
      </c>
      <c r="E13" s="21" t="s">
        <v>863</v>
      </c>
      <c r="F13" s="21" t="s">
        <v>864</v>
      </c>
      <c r="G13" s="33" t="n">
        <f aca="false">Inventory!J20*0.2</f>
        <v>62.4</v>
      </c>
      <c r="H13" s="33" t="n">
        <f aca="false">G13</f>
        <v>62.4</v>
      </c>
      <c r="I13" s="32" t="n">
        <f aca="false">H13*TARIFF</f>
        <v>87.7344</v>
      </c>
      <c r="J13" s="66" t="n">
        <v>0</v>
      </c>
      <c r="K13" s="44" t="n">
        <f aca="false">IF(J13=0,0,IFERROR(J13/(G13*TARIFF),"n/a"))</f>
        <v>0</v>
      </c>
      <c r="L13" s="6" t="s">
        <v>179</v>
      </c>
      <c r="M13" s="33" t="n">
        <f aca="false">G13*EF_CLP</f>
        <v>21.216</v>
      </c>
      <c r="N13" s="33" t="n">
        <f aca="false">H13*EF_CLP</f>
        <v>21.216</v>
      </c>
      <c r="O13" s="21" t="s">
        <v>841</v>
      </c>
    </row>
    <row r="14" customFormat="false" ht="23.85" hidden="false" customHeight="false" outlineLevel="0" collapsed="false">
      <c r="A14" s="17" t="s">
        <v>865</v>
      </c>
      <c r="B14" s="65" t="s">
        <v>866</v>
      </c>
      <c r="C14" s="65" t="s">
        <v>837</v>
      </c>
      <c r="D14" s="21" t="s">
        <v>867</v>
      </c>
      <c r="E14" s="21" t="s">
        <v>868</v>
      </c>
      <c r="F14" s="21" t="s">
        <v>869</v>
      </c>
      <c r="G14" s="33" t="n">
        <f aca="false">WR_FAN_W*(WR_FAN_H-8)*365/1000</f>
        <v>175.2</v>
      </c>
      <c r="H14" s="33" t="n">
        <f aca="false">G14*OCC/WR_USERS</f>
        <v>87.6</v>
      </c>
      <c r="I14" s="32" t="n">
        <f aca="false">H14*TARIFF</f>
        <v>123.1656</v>
      </c>
      <c r="J14" s="67" t="n">
        <v>800</v>
      </c>
      <c r="K14" s="44" t="n">
        <f aca="false">IF(J14=0,0,IFERROR(J14/(G14*TARIFF),"n/a"))</f>
        <v>3.2476600609261</v>
      </c>
      <c r="L14" s="6" t="n">
        <v>10</v>
      </c>
      <c r="M14" s="33" t="n">
        <f aca="false">G14*EF_CLP</f>
        <v>59.568</v>
      </c>
      <c r="N14" s="33" t="n">
        <f aca="false">H14*EF_CLP</f>
        <v>29.784</v>
      </c>
      <c r="O14" s="21" t="s">
        <v>870</v>
      </c>
    </row>
    <row r="15" customFormat="false" ht="23.85" hidden="false" customHeight="false" outlineLevel="0" collapsed="false">
      <c r="A15" s="17" t="s">
        <v>871</v>
      </c>
      <c r="B15" s="65" t="s">
        <v>866</v>
      </c>
      <c r="C15" s="65" t="s">
        <v>837</v>
      </c>
      <c r="D15" s="21" t="s">
        <v>867</v>
      </c>
      <c r="E15" s="21" t="s">
        <v>872</v>
      </c>
      <c r="F15" s="21" t="s">
        <v>873</v>
      </c>
      <c r="G15" s="33" t="n">
        <f aca="false">KAC_LABEL_KWH/LABEL_HOURS*((KAC_H_HOT-5)*DAYS_HOT+(KAC_H_COOL-2)*DAYS_COOL)</f>
        <v>524.026666666667</v>
      </c>
      <c r="H15" s="33" t="n">
        <f aca="false">G15*OCC/KIT_USERS</f>
        <v>32.7516666666667</v>
      </c>
      <c r="I15" s="32" t="n">
        <f aca="false">H15*TARIFF</f>
        <v>46.0488433333333</v>
      </c>
      <c r="J15" s="67" t="n">
        <v>1000</v>
      </c>
      <c r="K15" s="44" t="n">
        <f aca="false">IF(J15=0,0,IFERROR(J15/(G15*TARIFF),"n/a"))</f>
        <v>1.3572545036057</v>
      </c>
      <c r="L15" s="6" t="n">
        <v>10</v>
      </c>
      <c r="M15" s="33" t="n">
        <f aca="false">G15*EF_CLP</f>
        <v>178.169066666667</v>
      </c>
      <c r="N15" s="33" t="n">
        <f aca="false">H15*EF_CLP</f>
        <v>11.1355666666667</v>
      </c>
      <c r="O15" s="21" t="s">
        <v>870</v>
      </c>
    </row>
    <row r="16" customFormat="false" ht="23.85" hidden="false" customHeight="false" outlineLevel="0" collapsed="false">
      <c r="A16" s="17" t="s">
        <v>874</v>
      </c>
      <c r="B16" s="65" t="s">
        <v>866</v>
      </c>
      <c r="C16" s="65" t="s">
        <v>575</v>
      </c>
      <c r="D16" s="21" t="s">
        <v>867</v>
      </c>
      <c r="E16" s="21" t="s">
        <v>875</v>
      </c>
      <c r="F16" s="21" t="s">
        <v>876</v>
      </c>
      <c r="G16" s="33" t="n">
        <f aca="false">DISP_KWH_DAY*365*0.25</f>
        <v>136.875</v>
      </c>
      <c r="H16" s="33" t="n">
        <f aca="false">G16*OCC/KIT_USERS</f>
        <v>8.5546875</v>
      </c>
      <c r="I16" s="32" t="n">
        <f aca="false">H16*TARIFF</f>
        <v>12.027890625</v>
      </c>
      <c r="J16" s="67" t="n">
        <v>200</v>
      </c>
      <c r="K16" s="44" t="n">
        <f aca="false">IF(J16=0,0,IFERROR(J16/(G16*TARIFF),"n/a"))</f>
        <v>1.03925121949635</v>
      </c>
      <c r="L16" s="6" t="n">
        <v>10</v>
      </c>
      <c r="M16" s="33" t="n">
        <f aca="false">G16*EF_CLP</f>
        <v>46.5375</v>
      </c>
      <c r="N16" s="33" t="n">
        <f aca="false">H16*EF_CLP</f>
        <v>2.90859375</v>
      </c>
      <c r="O16" s="21" t="s">
        <v>870</v>
      </c>
    </row>
    <row r="17" customFormat="false" ht="23.85" hidden="false" customHeight="false" outlineLevel="0" collapsed="false">
      <c r="A17" s="17" t="s">
        <v>877</v>
      </c>
      <c r="B17" s="65" t="s">
        <v>866</v>
      </c>
      <c r="C17" s="65" t="s">
        <v>575</v>
      </c>
      <c r="D17" s="21" t="s">
        <v>867</v>
      </c>
      <c r="E17" s="21" t="s">
        <v>878</v>
      </c>
      <c r="F17" s="21" t="s">
        <v>879</v>
      </c>
      <c r="G17" s="33" t="n">
        <f aca="false">HW_KWH/OCC*WR_USERS*(1-7/SHOWER_FLOW)</f>
        <v>282.096936026936</v>
      </c>
      <c r="H17" s="33" t="n">
        <f aca="false">HW_KWH*(1-7/SHOWER_FLOW)</f>
        <v>141.048468013468</v>
      </c>
      <c r="I17" s="32" t="n">
        <f aca="false">H17*TARIFF</f>
        <v>198.314146026936</v>
      </c>
      <c r="J17" s="67" t="n">
        <v>250</v>
      </c>
      <c r="K17" s="44" t="n">
        <f aca="false">IF(J17=0,0,IFERROR(J17/(G17*TARIFF),"n/a"))</f>
        <v>0.630313079042893</v>
      </c>
      <c r="L17" s="6" t="n">
        <v>5</v>
      </c>
      <c r="M17" s="33" t="n">
        <f aca="false">G17*EF_CLP</f>
        <v>95.9129582491583</v>
      </c>
      <c r="N17" s="33" t="n">
        <f aca="false">H17*EF_CLP</f>
        <v>47.9564791245791</v>
      </c>
      <c r="O17" s="21" t="s">
        <v>870</v>
      </c>
    </row>
    <row r="18" customFormat="false" ht="46.25" hidden="false" customHeight="false" outlineLevel="0" collapsed="false">
      <c r="A18" s="17" t="s">
        <v>880</v>
      </c>
      <c r="B18" s="65" t="s">
        <v>866</v>
      </c>
      <c r="C18" s="65" t="s">
        <v>837</v>
      </c>
      <c r="D18" s="21" t="s">
        <v>867</v>
      </c>
      <c r="E18" s="21" t="s">
        <v>881</v>
      </c>
      <c r="F18" s="21" t="s">
        <v>882</v>
      </c>
      <c r="G18" s="33" t="n">
        <f aca="false">AC_KWH*0.03</f>
        <v>24.3243243243243</v>
      </c>
      <c r="H18" s="33" t="n">
        <f aca="false">G18</f>
        <v>24.3243243243243</v>
      </c>
      <c r="I18" s="32" t="n">
        <f aca="false">H18*TARIFF</f>
        <v>34.2</v>
      </c>
      <c r="J18" s="67" t="n">
        <v>400</v>
      </c>
      <c r="K18" s="44" t="n">
        <f aca="false">IF(J18=0,0,IFERROR(J18/(G18*TARIFF),"n/a"))</f>
        <v>11.6959064327485</v>
      </c>
      <c r="L18" s="6" t="n">
        <v>1</v>
      </c>
      <c r="M18" s="33" t="n">
        <f aca="false">G18*EF_CLP</f>
        <v>8.27027027027027</v>
      </c>
      <c r="N18" s="33" t="n">
        <f aca="false">H18*EF_CLP</f>
        <v>8.27027027027027</v>
      </c>
      <c r="O18" s="21" t="s">
        <v>883</v>
      </c>
    </row>
    <row r="19" customFormat="false" ht="23.85" hidden="false" customHeight="false" outlineLevel="0" collapsed="false">
      <c r="A19" s="17" t="s">
        <v>884</v>
      </c>
      <c r="B19" s="65" t="s">
        <v>866</v>
      </c>
      <c r="C19" s="65" t="s">
        <v>859</v>
      </c>
      <c r="D19" s="21" t="s">
        <v>838</v>
      </c>
      <c r="E19" s="21" t="s">
        <v>885</v>
      </c>
      <c r="F19" s="21" t="s">
        <v>886</v>
      </c>
      <c r="G19" s="54" t="n">
        <v>0</v>
      </c>
      <c r="H19" s="33" t="n">
        <f aca="false">G19</f>
        <v>0</v>
      </c>
      <c r="I19" s="32" t="n">
        <f aca="false">H19*TARIFF</f>
        <v>0</v>
      </c>
      <c r="J19" s="67" t="n">
        <v>120</v>
      </c>
      <c r="K19" s="44" t="str">
        <f aca="false">IF(J19=0,0,IFERROR(J19/(G19*TARIFF),"n/a"))</f>
        <v>n/a</v>
      </c>
      <c r="L19" s="6" t="n">
        <v>5</v>
      </c>
      <c r="M19" s="33" t="n">
        <f aca="false">G19*EF_CLP</f>
        <v>0</v>
      </c>
      <c r="N19" s="33" t="n">
        <f aca="false">H19*EF_CLP</f>
        <v>0</v>
      </c>
      <c r="O19" s="21" t="s">
        <v>887</v>
      </c>
    </row>
    <row r="20" customFormat="false" ht="35.05" hidden="false" customHeight="false" outlineLevel="0" collapsed="false">
      <c r="A20" s="17" t="s">
        <v>888</v>
      </c>
      <c r="B20" s="65" t="s">
        <v>889</v>
      </c>
      <c r="C20" s="65" t="s">
        <v>575</v>
      </c>
      <c r="D20" s="21" t="s">
        <v>890</v>
      </c>
      <c r="E20" s="21" t="s">
        <v>891</v>
      </c>
      <c r="F20" s="21" t="s">
        <v>892</v>
      </c>
      <c r="G20" s="33" t="n">
        <f aca="false">HW_KWH/OCC*WR_USERS*(1-HEATER_EFF/3.5)</f>
        <v>910.367112121212</v>
      </c>
      <c r="H20" s="33" t="n">
        <f aca="false">HW_KWH*(1-HEATER_EFF/3.5)</f>
        <v>455.183556060606</v>
      </c>
      <c r="I20" s="32" t="n">
        <f aca="false">H20*TARIFF</f>
        <v>639.988079821212</v>
      </c>
      <c r="J20" s="67" t="n">
        <v>20000</v>
      </c>
      <c r="K20" s="44" t="n">
        <f aca="false">IF(J20=0,0,IFERROR(J20/(G20*TARIFF),"n/a"))</f>
        <v>15.6252910254104</v>
      </c>
      <c r="L20" s="6" t="n">
        <v>15</v>
      </c>
      <c r="M20" s="33" t="n">
        <f aca="false">G20*EF_CLP</f>
        <v>309.524818121212</v>
      </c>
      <c r="N20" s="33" t="n">
        <f aca="false">H20*EF_CLP</f>
        <v>154.762409060606</v>
      </c>
      <c r="O20" s="21" t="s">
        <v>893</v>
      </c>
    </row>
    <row r="21" customFormat="false" ht="23.85" hidden="false" customHeight="false" outlineLevel="0" collapsed="false">
      <c r="A21" s="17" t="s">
        <v>894</v>
      </c>
      <c r="B21" s="65" t="s">
        <v>889</v>
      </c>
      <c r="C21" s="65" t="s">
        <v>837</v>
      </c>
      <c r="D21" s="21" t="s">
        <v>890</v>
      </c>
      <c r="E21" s="21" t="s">
        <v>895</v>
      </c>
      <c r="F21" s="21" t="s">
        <v>896</v>
      </c>
      <c r="G21" s="33" t="n">
        <f aca="false">AC_KWH*(1-AC_CSPF/7.5)</f>
        <v>306.832432432432</v>
      </c>
      <c r="H21" s="33" t="n">
        <f aca="false">G21</f>
        <v>306.832432432432</v>
      </c>
      <c r="I21" s="32" t="n">
        <f aca="false">H21*TARIFF</f>
        <v>431.4064</v>
      </c>
      <c r="J21" s="67" t="n">
        <v>9000</v>
      </c>
      <c r="K21" s="44" t="n">
        <f aca="false">IF(J21=0,0,IFERROR(J21/(G21*TARIFF),"n/a"))</f>
        <v>20.8619992656576</v>
      </c>
      <c r="L21" s="6" t="n">
        <v>12</v>
      </c>
      <c r="M21" s="33" t="n">
        <f aca="false">G21*EF_CLP</f>
        <v>104.323027027027</v>
      </c>
      <c r="N21" s="33" t="n">
        <f aca="false">H21*EF_CLP</f>
        <v>104.323027027027</v>
      </c>
      <c r="O21" s="21" t="s">
        <v>897</v>
      </c>
    </row>
    <row r="22" customFormat="false" ht="15" hidden="false" customHeight="false" outlineLevel="0" collapsed="false">
      <c r="A22" s="17" t="s">
        <v>898</v>
      </c>
      <c r="B22" s="65" t="s">
        <v>889</v>
      </c>
      <c r="C22" s="65" t="s">
        <v>837</v>
      </c>
      <c r="D22" s="21" t="s">
        <v>890</v>
      </c>
      <c r="E22" s="21" t="s">
        <v>899</v>
      </c>
      <c r="F22" s="21" t="s">
        <v>900</v>
      </c>
      <c r="G22" s="33" t="n">
        <f aca="false">AC_KWH*0.02</f>
        <v>16.2162162162162</v>
      </c>
      <c r="H22" s="33" t="n">
        <f aca="false">G22</f>
        <v>16.2162162162162</v>
      </c>
      <c r="I22" s="32" t="n">
        <f aca="false">H22*TARIFF</f>
        <v>22.8</v>
      </c>
      <c r="J22" s="67" t="n">
        <v>800</v>
      </c>
      <c r="K22" s="44" t="n">
        <f aca="false">IF(J22=0,0,IFERROR(J22/(G22*TARIFF),"n/a"))</f>
        <v>35.0877192982456</v>
      </c>
      <c r="L22" s="6" t="n">
        <v>10</v>
      </c>
      <c r="M22" s="33" t="n">
        <f aca="false">G22*EF_CLP</f>
        <v>5.51351351351351</v>
      </c>
      <c r="N22" s="33" t="n">
        <f aca="false">H22*EF_CLP</f>
        <v>5.51351351351351</v>
      </c>
      <c r="O22" s="21" t="s">
        <v>901</v>
      </c>
    </row>
    <row r="23" customFormat="false" ht="23.85" hidden="false" customHeight="false" outlineLevel="0" collapsed="false">
      <c r="A23" s="17" t="s">
        <v>902</v>
      </c>
      <c r="B23" s="65" t="s">
        <v>889</v>
      </c>
      <c r="C23" s="65" t="s">
        <v>575</v>
      </c>
      <c r="D23" s="21" t="s">
        <v>890</v>
      </c>
      <c r="E23" s="21" t="s">
        <v>903</v>
      </c>
      <c r="F23" s="21" t="s">
        <v>904</v>
      </c>
      <c r="G23" s="54" t="n">
        <v>0</v>
      </c>
      <c r="H23" s="33" t="n">
        <f aca="false">G23</f>
        <v>0</v>
      </c>
      <c r="I23" s="32" t="n">
        <f aca="false">H23*TARIFF</f>
        <v>0</v>
      </c>
      <c r="J23" s="66" t="n">
        <v>0</v>
      </c>
      <c r="K23" s="44" t="n">
        <f aca="false">IF(J23=0,0,IFERROR(J23/(G23*TARIFF),"n/a"))</f>
        <v>0</v>
      </c>
      <c r="L23" s="6" t="n">
        <v>20</v>
      </c>
      <c r="M23" s="33" t="n">
        <f aca="false">G23*EF_CLP</f>
        <v>0</v>
      </c>
      <c r="N23" s="33" t="n">
        <f aca="false">H23*EF_CLP</f>
        <v>0</v>
      </c>
      <c r="O23" s="21" t="s">
        <v>905</v>
      </c>
    </row>
    <row r="26" customFormat="false" ht="45" hidden="false" customHeight="true" outlineLevel="0" collapsed="false">
      <c r="A26" s="12" t="s">
        <v>664</v>
      </c>
      <c r="B26" s="12" t="s">
        <v>906</v>
      </c>
      <c r="C26" s="12" t="s">
        <v>907</v>
      </c>
      <c r="D26" s="12" t="s">
        <v>908</v>
      </c>
      <c r="E26" s="12" t="s">
        <v>833</v>
      </c>
      <c r="F26" s="12" t="s">
        <v>826</v>
      </c>
    </row>
    <row r="27" customFormat="false" ht="15" hidden="false" customHeight="false" outlineLevel="0" collapsed="false">
      <c r="A27" s="8" t="s">
        <v>909</v>
      </c>
      <c r="B27" s="68" t="n">
        <f aca="false">COUNTIF($B$6:$B$23,"I")</f>
        <v>8</v>
      </c>
      <c r="C27" s="33" t="n">
        <f aca="false">SUMIF($B$6:$B$23,"I",$H$6:$H$23)</f>
        <v>503.217905161142</v>
      </c>
      <c r="D27" s="36" t="n">
        <f aca="false">C27/HH_KWH</f>
        <v>0.194563990389674</v>
      </c>
      <c r="E27" s="33" t="n">
        <f aca="false">SUMIF($B$6:$B$23,"I",$N$6:$N$23)</f>
        <v>171.094087754788</v>
      </c>
      <c r="F27" s="33" t="n">
        <f aca="false">SUMIF($B$6:$B$23,"I",$G$6:$G$23)</f>
        <v>503.217905161142</v>
      </c>
    </row>
    <row r="28" customFormat="false" ht="15" hidden="false" customHeight="false" outlineLevel="0" collapsed="false">
      <c r="A28" s="8" t="s">
        <v>910</v>
      </c>
      <c r="B28" s="68" t="n">
        <f aca="false">COUNTIF($B$6:$B$23,"II")</f>
        <v>6</v>
      </c>
      <c r="C28" s="33" t="n">
        <f aca="false">SUMIF($B$6:$B$23,"II",$H$6:$H$23)</f>
        <v>294.279146504459</v>
      </c>
      <c r="D28" s="36" t="n">
        <f aca="false">C28/HH_KWH</f>
        <v>0.113779983671369</v>
      </c>
      <c r="E28" s="33" t="n">
        <f aca="false">SUMIF($B$6:$B$23,"II",$N$6:$N$23)</f>
        <v>100.054909811516</v>
      </c>
      <c r="F28" s="33" t="n">
        <f aca="false">SUMIF($B$6:$B$23,"II",$G$6:$G$23)</f>
        <v>1142.52292701793</v>
      </c>
    </row>
    <row r="29" customFormat="false" ht="15" hidden="false" customHeight="false" outlineLevel="0" collapsed="false">
      <c r="A29" s="8" t="s">
        <v>911</v>
      </c>
      <c r="B29" s="68" t="n">
        <f aca="false">COUNTIF($B$6:$B$23,"III")</f>
        <v>4</v>
      </c>
      <c r="C29" s="33" t="n">
        <f aca="false">SUMIF($B$6:$B$23,"III",$H$6:$H$23)</f>
        <v>778.232204709255</v>
      </c>
      <c r="D29" s="36" t="n">
        <f aca="false">C29/HH_KWH</f>
        <v>0.300895420542517</v>
      </c>
      <c r="E29" s="33" t="n">
        <f aca="false">SUMIF($B$6:$B$23,"III",$N$6:$N$23)</f>
        <v>264.598949601147</v>
      </c>
      <c r="F29" s="33" t="n">
        <f aca="false">SUMIF($B$6:$B$23,"III",$G$6:$G$23)</f>
        <v>1233.41576076986</v>
      </c>
    </row>
    <row r="30" customFormat="false" ht="15" hidden="false" customHeight="false" outlineLevel="0" collapsed="false">
      <c r="A30" s="38" t="s">
        <v>912</v>
      </c>
      <c r="B30" s="69" t="n">
        <f aca="false">SUM(B27:B29)</f>
        <v>18</v>
      </c>
      <c r="C30" s="42" t="n">
        <f aca="false">SUM(C27:C29)</f>
        <v>1575.72925637486</v>
      </c>
      <c r="D30" s="52" t="n">
        <f aca="false">SUM(D27:D29)</f>
        <v>0.60923939460356</v>
      </c>
      <c r="E30" s="42" t="n">
        <f aca="false">SUM(E27:E29)</f>
        <v>535.747947167451</v>
      </c>
      <c r="F30" s="42" t="n">
        <f aca="false">SUM(F27:F29)</f>
        <v>2879.15659294893</v>
      </c>
    </row>
    <row r="33" customFormat="false" ht="46.25" hidden="false" customHeight="false" outlineLevel="0" collapsed="false">
      <c r="A33" s="12" t="s">
        <v>913</v>
      </c>
      <c r="B33" s="12" t="s">
        <v>906</v>
      </c>
    </row>
    <row r="34" customFormat="false" ht="15" hidden="false" customHeight="false" outlineLevel="0" collapsed="false">
      <c r="A34" s="8" t="s">
        <v>914</v>
      </c>
      <c r="B34" s="68" t="n">
        <f aca="false">COUNTIF($C$6:$C$23,"LG")</f>
        <v>1</v>
      </c>
    </row>
    <row r="35" customFormat="false" ht="15" hidden="false" customHeight="false" outlineLevel="0" collapsed="false">
      <c r="A35" s="8" t="s">
        <v>915</v>
      </c>
      <c r="B35" s="68" t="n">
        <f aca="false">COUNTIF($C$6:$C$23,"AC")</f>
        <v>8</v>
      </c>
    </row>
    <row r="36" customFormat="false" ht="15" hidden="false" customHeight="false" outlineLevel="0" collapsed="false">
      <c r="A36" s="8" t="s">
        <v>916</v>
      </c>
      <c r="B36" s="68" t="n">
        <f aca="false">COUNTIF($C$6:$C$23,"EL")</f>
        <v>2</v>
      </c>
    </row>
    <row r="37" customFormat="false" ht="15" hidden="false" customHeight="false" outlineLevel="0" collapsed="false">
      <c r="A37" s="8" t="s">
        <v>917</v>
      </c>
      <c r="B37" s="68" t="n">
        <f aca="false">COUNTIF($C$6:$C$23,"LE")</f>
        <v>0</v>
      </c>
    </row>
    <row r="38" customFormat="false" ht="15" hidden="false" customHeight="false" outlineLevel="0" collapsed="false">
      <c r="A38" s="8" t="s">
        <v>575</v>
      </c>
      <c r="B38" s="68" t="n">
        <f aca="false">COUNTIF($C$6:$C$23,"Others")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918</v>
      </c>
    </row>
    <row r="2" customFormat="false" ht="15" hidden="false" customHeight="false" outlineLevel="0" collapsed="false">
      <c r="A2" s="2" t="s">
        <v>919</v>
      </c>
    </row>
    <row r="5" customFormat="false" ht="45" hidden="false" customHeight="true" outlineLevel="0" collapsed="false">
      <c r="A5" s="12" t="s">
        <v>920</v>
      </c>
      <c r="B5" s="12" t="s">
        <v>921</v>
      </c>
      <c r="C5" s="12" t="s">
        <v>922</v>
      </c>
      <c r="D5" s="12" t="s">
        <v>923</v>
      </c>
      <c r="E5" s="12" t="s">
        <v>924</v>
      </c>
      <c r="F5" s="12" t="s">
        <v>925</v>
      </c>
      <c r="G5" s="12" t="s">
        <v>926</v>
      </c>
    </row>
    <row r="6" customFormat="false" ht="15" hidden="false" customHeight="false" outlineLevel="0" collapsed="false">
      <c r="A6" s="8" t="n">
        <v>0</v>
      </c>
      <c r="B6" s="70" t="s">
        <v>927</v>
      </c>
      <c r="C6" s="61" t="s">
        <v>928</v>
      </c>
      <c r="D6" s="33" t="n">
        <f aca="false">AC_KWH</f>
        <v>810.810810810811</v>
      </c>
      <c r="E6" s="33" t="n">
        <f aca="false">HH_KWH</f>
        <v>2586.38766687142</v>
      </c>
      <c r="F6" s="33" t="n">
        <f aca="false">E6*EF_CLP</f>
        <v>879.371806736282</v>
      </c>
      <c r="G6" s="36" t="n">
        <f aca="false">F6/$F$6-1</f>
        <v>0</v>
      </c>
    </row>
    <row r="7" customFormat="false" ht="15" hidden="false" customHeight="false" outlineLevel="0" collapsed="false">
      <c r="A7" s="8" t="n">
        <v>1</v>
      </c>
      <c r="B7" s="21" t="s">
        <v>929</v>
      </c>
      <c r="C7" s="61" t="n">
        <f aca="false">EF_CLP_PREV</f>
        <v>0.38</v>
      </c>
      <c r="D7" s="33" t="n">
        <f aca="false">AC_KWH</f>
        <v>810.810810810811</v>
      </c>
      <c r="E7" s="33" t="n">
        <f aca="false">HH_KWH</f>
        <v>2586.38766687142</v>
      </c>
      <c r="F7" s="33" t="n">
        <f aca="false">E7*EF_CLP_PREV</f>
        <v>982.827313411138</v>
      </c>
      <c r="G7" s="36" t="n">
        <f aca="false">F7/$F$6-1</f>
        <v>0.117647058823529</v>
      </c>
    </row>
    <row r="8" customFormat="false" ht="15" hidden="false" customHeight="false" outlineLevel="0" collapsed="false">
      <c r="A8" s="8" t="n">
        <v>2</v>
      </c>
      <c r="B8" s="21" t="s">
        <v>930</v>
      </c>
      <c r="C8" s="61" t="n">
        <f aca="false">EF_DEFAULT</f>
        <v>0.7</v>
      </c>
      <c r="D8" s="33" t="n">
        <f aca="false">AC_KWH</f>
        <v>810.810810810811</v>
      </c>
      <c r="E8" s="33" t="n">
        <f aca="false">HH_KWH</f>
        <v>2586.38766687142</v>
      </c>
      <c r="F8" s="33" t="n">
        <f aca="false">E8*EF_DEFAULT</f>
        <v>1810.47136680999</v>
      </c>
      <c r="G8" s="36" t="n">
        <f aca="false">F8/$F$6-1</f>
        <v>1.05882352941176</v>
      </c>
    </row>
    <row r="9" customFormat="false" ht="15" hidden="false" customHeight="false" outlineLevel="0" collapsed="false">
      <c r="A9" s="8" t="n">
        <v>3</v>
      </c>
      <c r="B9" s="21" t="s">
        <v>931</v>
      </c>
      <c r="C9" s="61" t="n">
        <f aca="false">TARIFF_LOW</f>
        <v>1.2</v>
      </c>
      <c r="D9" s="33" t="n">
        <f aca="false">AC_SPEND_YR/TARIFF_LOW</f>
        <v>950</v>
      </c>
      <c r="E9" s="33" t="n">
        <f aca="false">HH_KWH-AC_KWH+D9</f>
        <v>2725.57685606061</v>
      </c>
      <c r="F9" s="33" t="n">
        <f aca="false">E9*EF_CLP</f>
        <v>926.696131060606</v>
      </c>
      <c r="G9" s="36" t="n">
        <f aca="false">F9/$F$6-1</f>
        <v>0.0538160581926828</v>
      </c>
    </row>
    <row r="10" customFormat="false" ht="15" hidden="false" customHeight="false" outlineLevel="0" collapsed="false">
      <c r="A10" s="8" t="n">
        <v>4</v>
      </c>
      <c r="B10" s="21" t="s">
        <v>932</v>
      </c>
      <c r="C10" s="61" t="n">
        <f aca="false">TARIFF_HIGH</f>
        <v>2.31</v>
      </c>
      <c r="D10" s="33" t="n">
        <f aca="false">AC_SPEND_YR/TARIFF_HIGH</f>
        <v>493.506493506494</v>
      </c>
      <c r="E10" s="33" t="n">
        <f aca="false">HH_KWH-AC_KWH+D10</f>
        <v>2269.0833495671</v>
      </c>
      <c r="F10" s="33" t="n">
        <f aca="false">E10*EF_CLP</f>
        <v>771.488338852814</v>
      </c>
      <c r="G10" s="36" t="n">
        <f aca="false">F10/$F$6-1</f>
        <v>-0.122682427452239</v>
      </c>
    </row>
    <row r="11" customFormat="false" ht="15" hidden="false" customHeight="false" outlineLevel="0" collapsed="false">
      <c r="A11" s="8" t="n">
        <v>5</v>
      </c>
      <c r="B11" s="21" t="s">
        <v>933</v>
      </c>
      <c r="C11" s="61" t="n">
        <f aca="false">AC_SPEND_STATED</f>
        <v>120</v>
      </c>
      <c r="D11" s="33" t="n">
        <f aca="false">AC_STATED</f>
        <v>1024.18207681366</v>
      </c>
      <c r="E11" s="33" t="n">
        <f aca="false">HH_KWH-AC_KWH+D11</f>
        <v>2799.75893287426</v>
      </c>
      <c r="F11" s="33" t="n">
        <f aca="false">E11*EF_CLP</f>
        <v>951.918037177249</v>
      </c>
      <c r="G11" s="36" t="n">
        <f aca="false">F11/$F$6-1</f>
        <v>0.0824977897690589</v>
      </c>
    </row>
    <row r="12" customFormat="false" ht="15" hidden="false" customHeight="false" outlineLevel="0" collapsed="false">
      <c r="A12" s="8" t="n">
        <v>6</v>
      </c>
      <c r="B12" s="21" t="s">
        <v>934</v>
      </c>
      <c r="C12" s="61" t="n">
        <f aca="false">AC_LABEL_KWH</f>
        <v>362</v>
      </c>
      <c r="D12" s="33" t="n">
        <f aca="false">AC_BU</f>
        <v>884.486666666667</v>
      </c>
      <c r="E12" s="33" t="n">
        <f aca="false">HH_KWH-AC_KWH+D12</f>
        <v>2660.06352272727</v>
      </c>
      <c r="F12" s="33" t="n">
        <f aca="false">E12*EF_CLP</f>
        <v>904.421597727273</v>
      </c>
      <c r="G12" s="36" t="n">
        <f aca="false">F12/$F$6-1</f>
        <v>0.0284860064867911</v>
      </c>
    </row>
    <row r="13" customFormat="false" ht="15" hidden="false" customHeight="false" outlineLevel="0" collapsed="false">
      <c r="A13" s="8" t="n">
        <v>7</v>
      </c>
      <c r="B13" s="21" t="s">
        <v>935</v>
      </c>
      <c r="C13" s="48" t="n">
        <v>7</v>
      </c>
      <c r="D13" s="33" t="n">
        <f aca="false">AC_KWH</f>
        <v>810.810810810811</v>
      </c>
      <c r="E13" s="33" t="n">
        <f aca="false">HH_KWH-HW_KWH*(1-C13/SHOWER_FLOW)</f>
        <v>2445.33919885795</v>
      </c>
      <c r="F13" s="33" t="n">
        <f aca="false">E13*EF_CLP</f>
        <v>831.415327611703</v>
      </c>
      <c r="G13" s="36" t="n">
        <f aca="false">F13/$F$6-1</f>
        <v>-0.0545349290905355</v>
      </c>
    </row>
    <row r="14" customFormat="false" ht="15" hidden="false" customHeight="false" outlineLevel="0" collapsed="false">
      <c r="A14" s="8" t="n">
        <v>8</v>
      </c>
      <c r="B14" s="21" t="s">
        <v>936</v>
      </c>
      <c r="C14" s="48" t="n">
        <v>12</v>
      </c>
      <c r="D14" s="33" t="n">
        <f aca="false">AC_KWH</f>
        <v>810.810810810811</v>
      </c>
      <c r="E14" s="33" t="n">
        <f aca="false">HH_KWH-HW_KWH*(1-C14/SHOWER_FLOW)</f>
        <v>2797.96036889162</v>
      </c>
      <c r="F14" s="33" t="n">
        <f aca="false">E14*EF_CLP</f>
        <v>951.306525423151</v>
      </c>
      <c r="G14" s="36" t="n">
        <f aca="false">F14/$F$6-1</f>
        <v>0.081802393635803</v>
      </c>
    </row>
    <row r="15" customFormat="false" ht="15" hidden="false" customHeight="false" outlineLevel="0" collapsed="false">
      <c r="A15" s="8" t="n">
        <v>9</v>
      </c>
      <c r="B15" s="21" t="s">
        <v>937</v>
      </c>
      <c r="C15" s="22" t="n">
        <v>0.3</v>
      </c>
      <c r="D15" s="33" t="n">
        <f aca="false">AC_KWH</f>
        <v>810.810810810811</v>
      </c>
      <c r="E15" s="33" t="n">
        <f aca="false">HH_KWH-Inventory!J11*(1-C15/LAPTOP_LF)</f>
        <v>2510.46766687142</v>
      </c>
      <c r="F15" s="33" t="n">
        <f aca="false">E15*EF_CLP</f>
        <v>853.559006736282</v>
      </c>
      <c r="G15" s="36" t="n">
        <f aca="false">F15/$F$6-1</f>
        <v>-0.0293536815738978</v>
      </c>
    </row>
    <row r="16" customFormat="false" ht="15" hidden="false" customHeight="false" outlineLevel="0" collapsed="false">
      <c r="A16" s="8" t="n">
        <v>10</v>
      </c>
      <c r="B16" s="21" t="s">
        <v>938</v>
      </c>
      <c r="C16" s="22" t="n">
        <v>0.8</v>
      </c>
      <c r="D16" s="33" t="n">
        <f aca="false">AC_KWH</f>
        <v>810.810810810811</v>
      </c>
      <c r="E16" s="33" t="n">
        <f aca="false">HH_KWH-Inventory!J11*(1-C16/LAPTOP_LF)</f>
        <v>2700.26766687142</v>
      </c>
      <c r="F16" s="33" t="n">
        <f aca="false">E16*EF_CLP</f>
        <v>918.091006736282</v>
      </c>
      <c r="G16" s="36" t="n">
        <f aca="false">F16/$F$6-1</f>
        <v>0.0440305223608466</v>
      </c>
    </row>
    <row r="17" customFormat="false" ht="15" hidden="false" customHeight="false" outlineLevel="0" collapsed="false">
      <c r="A17" s="8" t="n">
        <v>11</v>
      </c>
      <c r="B17" s="21" t="s">
        <v>939</v>
      </c>
      <c r="C17" s="22" t="n">
        <v>0.5</v>
      </c>
      <c r="D17" s="33" t="n">
        <f aca="false">AC_KWH</f>
        <v>810.810810810811</v>
      </c>
      <c r="E17" s="33" t="n">
        <f aca="false">HH_KWH-(1-C17)/2*(Inventory!J11+Inventory!J12+HW_KWH+Inventory!J20+Inventory!J21+Inventory!J22)</f>
        <v>2275.20814035627</v>
      </c>
      <c r="F17" s="33" t="n">
        <f aca="false">E17*EF_CLP</f>
        <v>773.57076772113</v>
      </c>
      <c r="G17" s="36" t="n">
        <f aca="false">F17/$F$6-1</f>
        <v>-0.120314340537962</v>
      </c>
    </row>
    <row r="18" customFormat="false" ht="15" hidden="false" customHeight="false" outlineLevel="0" collapsed="false">
      <c r="A18" s="8" t="n">
        <v>12</v>
      </c>
      <c r="B18" s="21" t="s">
        <v>940</v>
      </c>
      <c r="C18" s="48" t="n">
        <v>20</v>
      </c>
      <c r="D18" s="33" t="n">
        <f aca="false">AC_KWH</f>
        <v>810.810810810811</v>
      </c>
      <c r="E18" s="33" t="n">
        <f aca="false">HH_KWH+(Inventory!J16+Inventory!J17+Inventory!J18+Inventory!J19)*(KIT_USERS/C18-1)</f>
        <v>2693.56791687142</v>
      </c>
      <c r="F18" s="33" t="n">
        <f aca="false">E18*EF_CLP</f>
        <v>915.813091736282</v>
      </c>
      <c r="G18" s="36" t="n">
        <f aca="false">F18/$F$6-1</f>
        <v>0.041440133423482</v>
      </c>
    </row>
    <row r="19" customFormat="false" ht="15" hidden="false" customHeight="false" outlineLevel="0" collapsed="false">
      <c r="A19" s="8" t="n">
        <v>13</v>
      </c>
      <c r="B19" s="21" t="s">
        <v>941</v>
      </c>
      <c r="C19" s="61" t="n">
        <f aca="false">11/12</f>
        <v>0.916666666666667</v>
      </c>
      <c r="D19" s="33" t="n">
        <f aca="false">AC_KWH*C19</f>
        <v>743.243243243243</v>
      </c>
      <c r="E19" s="33" t="n">
        <f aca="false">HH_KWH-(1-C19)*(ROOM_KWH+HW_KWH+Inventory!J20+Inventory!J21+Inventory!J22)</f>
        <v>2398.06025713213</v>
      </c>
      <c r="F19" s="33" t="n">
        <f aca="false">E19*EF_CLP</f>
        <v>815.340487424925</v>
      </c>
      <c r="G19" s="36" t="n">
        <f aca="false">F19/$F$6-1</f>
        <v>-0.0728148421644355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942</v>
      </c>
    </row>
    <row r="2" customFormat="false" ht="15" hidden="false" customHeight="false" outlineLevel="0" collapsed="false">
      <c r="A2" s="2" t="s">
        <v>943</v>
      </c>
    </row>
    <row r="4" customFormat="false" ht="15" hidden="false" customHeight="false" outlineLevel="0" collapsed="false">
      <c r="A4" s="10" t="s">
        <v>944</v>
      </c>
      <c r="B4" s="11"/>
      <c r="C4" s="11"/>
      <c r="D4" s="11"/>
      <c r="E4" s="11"/>
      <c r="F4" s="11"/>
    </row>
    <row r="5" customFormat="false" ht="15" hidden="false" customHeight="true" outlineLevel="0" collapsed="false">
      <c r="A5" s="21" t="s">
        <v>945</v>
      </c>
      <c r="B5" s="21" t="s">
        <v>946</v>
      </c>
      <c r="C5" s="21"/>
      <c r="D5" s="21"/>
      <c r="E5" s="21"/>
      <c r="F5" s="21"/>
      <c r="G5" s="21"/>
      <c r="H5" s="21"/>
    </row>
    <row r="6" customFormat="false" ht="15" hidden="false" customHeight="true" outlineLevel="0" collapsed="false">
      <c r="A6" s="21" t="s">
        <v>947</v>
      </c>
      <c r="B6" s="21" t="s">
        <v>948</v>
      </c>
      <c r="C6" s="21"/>
      <c r="D6" s="21"/>
      <c r="E6" s="21"/>
      <c r="F6" s="21"/>
      <c r="G6" s="21"/>
      <c r="H6" s="21"/>
    </row>
    <row r="7" customFormat="false" ht="15" hidden="false" customHeight="true" outlineLevel="0" collapsed="false">
      <c r="A7" s="21" t="s">
        <v>949</v>
      </c>
      <c r="B7" s="21" t="s">
        <v>950</v>
      </c>
      <c r="C7" s="21"/>
      <c r="D7" s="21"/>
      <c r="E7" s="21"/>
      <c r="F7" s="21"/>
      <c r="G7" s="21"/>
      <c r="H7" s="21"/>
    </row>
    <row r="8" customFormat="false" ht="15" hidden="false" customHeight="true" outlineLevel="0" collapsed="false">
      <c r="A8" s="21" t="s">
        <v>951</v>
      </c>
      <c r="B8" s="21" t="s">
        <v>952</v>
      </c>
      <c r="C8" s="21"/>
      <c r="D8" s="21"/>
      <c r="E8" s="21"/>
      <c r="F8" s="21"/>
      <c r="G8" s="21"/>
      <c r="H8" s="21"/>
    </row>
    <row r="9" customFormat="false" ht="15" hidden="false" customHeight="true" outlineLevel="0" collapsed="false">
      <c r="A9" s="21" t="s">
        <v>953</v>
      </c>
      <c r="B9" s="21" t="s">
        <v>954</v>
      </c>
      <c r="C9" s="21"/>
      <c r="D9" s="21"/>
      <c r="E9" s="21"/>
      <c r="F9" s="21"/>
      <c r="G9" s="21"/>
      <c r="H9" s="21"/>
    </row>
    <row r="10" customFormat="false" ht="15" hidden="false" customHeight="true" outlineLevel="0" collapsed="false">
      <c r="A10" s="21" t="s">
        <v>955</v>
      </c>
      <c r="B10" s="21" t="s">
        <v>956</v>
      </c>
      <c r="C10" s="21"/>
      <c r="D10" s="21"/>
      <c r="E10" s="21"/>
      <c r="F10" s="21"/>
      <c r="G10" s="21"/>
      <c r="H10" s="21"/>
    </row>
    <row r="11" customFormat="false" ht="15" hidden="false" customHeight="true" outlineLevel="0" collapsed="false">
      <c r="A11" s="21" t="s">
        <v>957</v>
      </c>
      <c r="B11" s="21" t="s">
        <v>958</v>
      </c>
      <c r="C11" s="21"/>
      <c r="D11" s="21"/>
      <c r="E11" s="21"/>
      <c r="F11" s="21"/>
      <c r="G11" s="21"/>
      <c r="H11" s="21"/>
    </row>
    <row r="13" customFormat="false" ht="15" hidden="false" customHeight="false" outlineLevel="0" collapsed="false">
      <c r="A13" s="10" t="s">
        <v>959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21" t="s">
        <v>960</v>
      </c>
      <c r="B14" s="21" t="s">
        <v>961</v>
      </c>
      <c r="C14" s="21"/>
      <c r="D14" s="21"/>
      <c r="E14" s="21"/>
      <c r="F14" s="21"/>
      <c r="G14" s="21"/>
      <c r="H14" s="21"/>
    </row>
    <row r="15" customFormat="false" ht="15" hidden="false" customHeight="true" outlineLevel="0" collapsed="false">
      <c r="A15" s="21" t="s">
        <v>962</v>
      </c>
      <c r="B15" s="21" t="s">
        <v>963</v>
      </c>
      <c r="C15" s="21"/>
      <c r="D15" s="21"/>
      <c r="E15" s="21"/>
      <c r="F15" s="21"/>
      <c r="G15" s="21"/>
      <c r="H15" s="21"/>
    </row>
    <row r="16" customFormat="false" ht="15" hidden="false" customHeight="true" outlineLevel="0" collapsed="false">
      <c r="A16" s="21" t="s">
        <v>964</v>
      </c>
      <c r="B16" s="21" t="s">
        <v>965</v>
      </c>
      <c r="C16" s="21"/>
      <c r="D16" s="21"/>
      <c r="E16" s="21"/>
      <c r="F16" s="21"/>
      <c r="G16" s="21"/>
      <c r="H16" s="21"/>
    </row>
    <row r="17" customFormat="false" ht="15" hidden="false" customHeight="false" outlineLevel="0" collapsed="false">
      <c r="A17" s="21" t="s">
        <v>966</v>
      </c>
      <c r="B17" s="71" t="n">
        <f aca="false">ROOM_AREA</f>
        <v>15</v>
      </c>
    </row>
    <row r="18" customFormat="false" ht="15" hidden="false" customHeight="true" outlineLevel="0" collapsed="false">
      <c r="A18" s="21" t="s">
        <v>967</v>
      </c>
      <c r="B18" s="21" t="s">
        <v>968</v>
      </c>
      <c r="C18" s="21"/>
      <c r="D18" s="21"/>
      <c r="E18" s="21"/>
      <c r="F18" s="21"/>
      <c r="G18" s="21"/>
      <c r="H18" s="21"/>
    </row>
    <row r="19" customFormat="false" ht="15" hidden="false" customHeight="true" outlineLevel="0" collapsed="false">
      <c r="A19" s="21" t="s">
        <v>969</v>
      </c>
      <c r="B19" s="21" t="s">
        <v>970</v>
      </c>
      <c r="C19" s="21"/>
      <c r="D19" s="21"/>
      <c r="E19" s="21"/>
      <c r="F19" s="21"/>
      <c r="G19" s="21"/>
      <c r="H19" s="21"/>
    </row>
    <row r="20" customFormat="false" ht="15" hidden="false" customHeight="true" outlineLevel="0" collapsed="false">
      <c r="A20" s="21" t="s">
        <v>971</v>
      </c>
      <c r="B20" s="21" t="s">
        <v>972</v>
      </c>
      <c r="C20" s="21"/>
      <c r="D20" s="21"/>
      <c r="E20" s="21"/>
      <c r="F20" s="21"/>
      <c r="G20" s="21"/>
      <c r="H20" s="21"/>
    </row>
    <row r="21" customFormat="false" ht="15" hidden="false" customHeight="true" outlineLevel="0" collapsed="false">
      <c r="A21" s="21" t="s">
        <v>973</v>
      </c>
      <c r="B21" s="21" t="s">
        <v>974</v>
      </c>
      <c r="C21" s="21"/>
      <c r="D21" s="21"/>
      <c r="E21" s="21"/>
      <c r="F21" s="21"/>
      <c r="G21" s="21"/>
      <c r="H21" s="21"/>
    </row>
    <row r="22" customFormat="false" ht="15" hidden="false" customHeight="false" outlineLevel="0" collapsed="false">
      <c r="A22" s="21" t="s">
        <v>975</v>
      </c>
      <c r="B22" s="72" t="n">
        <f aca="false">OCC_WKDAY_H*5+OCC_SAT_H+OCC_SUN_H</f>
        <v>103</v>
      </c>
    </row>
    <row r="23" customFormat="false" ht="15" hidden="false" customHeight="false" outlineLevel="0" collapsed="false">
      <c r="A23" s="21" t="s">
        <v>976</v>
      </c>
      <c r="B23" s="72" t="n">
        <f aca="false">OCC</f>
        <v>2</v>
      </c>
    </row>
    <row r="24" customFormat="false" ht="15" hidden="false" customHeight="false" outlineLevel="0" collapsed="false">
      <c r="A24" s="21" t="s">
        <v>977</v>
      </c>
      <c r="B24" s="71" t="n">
        <f aca="false">ROOM_AREA/OCC</f>
        <v>7.5</v>
      </c>
    </row>
    <row r="26" customFormat="false" ht="15" hidden="false" customHeight="false" outlineLevel="0" collapsed="false">
      <c r="A26" s="10" t="s">
        <v>978</v>
      </c>
      <c r="B26" s="11"/>
      <c r="C26" s="11"/>
      <c r="D26" s="11"/>
      <c r="E26" s="11"/>
      <c r="F26" s="11"/>
    </row>
    <row r="27" customFormat="false" ht="23.85" hidden="false" customHeight="false" outlineLevel="0" collapsed="false">
      <c r="A27" s="12" t="s">
        <v>979</v>
      </c>
      <c r="B27" s="12" t="s">
        <v>980</v>
      </c>
      <c r="C27" s="12" t="s">
        <v>981</v>
      </c>
      <c r="D27" s="12" t="s">
        <v>705</v>
      </c>
      <c r="E27" s="12" t="s">
        <v>982</v>
      </c>
      <c r="F27" s="12" t="s">
        <v>983</v>
      </c>
      <c r="G27" s="12" t="s">
        <v>540</v>
      </c>
      <c r="H27" s="12" t="s">
        <v>984</v>
      </c>
    </row>
    <row r="28" customFormat="false" ht="15" hidden="false" customHeight="false" outlineLevel="0" collapsed="false">
      <c r="A28" s="8" t="s">
        <v>985</v>
      </c>
      <c r="B28" s="8" t="s">
        <v>986</v>
      </c>
      <c r="C28" s="8" t="s">
        <v>987</v>
      </c>
      <c r="D28" s="8" t="s">
        <v>719</v>
      </c>
      <c r="E28" s="59" t="n">
        <f aca="false">AC_CAP_KW</f>
        <v>3.34</v>
      </c>
      <c r="F28" s="61" t="n">
        <f aca="false">AC_RATED_KW</f>
        <v>1.192</v>
      </c>
      <c r="G28" s="48" t="n">
        <v>1</v>
      </c>
      <c r="H28" s="37" t="n">
        <f aca="false">E28/F28</f>
        <v>2.80201342281879</v>
      </c>
    </row>
    <row r="29" customFormat="false" ht="15" hidden="false" customHeight="false" outlineLevel="0" collapsed="false">
      <c r="A29" s="21" t="s">
        <v>988</v>
      </c>
      <c r="B29" s="73" t="n">
        <f aca="false">(CEIL_N*CEIL_W+DESK_N*DESK_W)/1000</f>
        <v>0.06</v>
      </c>
    </row>
    <row r="31" customFormat="false" ht="15" hidden="false" customHeight="false" outlineLevel="0" collapsed="false">
      <c r="A31" s="10" t="s">
        <v>989</v>
      </c>
      <c r="B31" s="11"/>
      <c r="C31" s="11"/>
      <c r="D31" s="11"/>
      <c r="E31" s="11"/>
      <c r="F31" s="11"/>
    </row>
    <row r="32" customFormat="false" ht="15" hidden="false" customHeight="true" outlineLevel="0" collapsed="false">
      <c r="A32" s="21" t="s">
        <v>990</v>
      </c>
      <c r="B32" s="74" t="n">
        <f aca="false">ROOM_KWH</f>
        <v>1219.61081081081</v>
      </c>
      <c r="C32" s="21" t="s">
        <v>991</v>
      </c>
      <c r="D32" s="21"/>
      <c r="E32" s="21"/>
      <c r="F32" s="21"/>
      <c r="G32" s="21"/>
      <c r="H32" s="21"/>
    </row>
    <row r="33" customFormat="false" ht="15" hidden="false" customHeight="true" outlineLevel="0" collapsed="false">
      <c r="A33" s="21" t="s">
        <v>992</v>
      </c>
      <c r="B33" s="75" t="n">
        <v>0</v>
      </c>
      <c r="C33" s="21" t="s">
        <v>993</v>
      </c>
      <c r="D33" s="21"/>
      <c r="E33" s="21"/>
      <c r="F33" s="21"/>
      <c r="G33" s="21"/>
      <c r="H33" s="21"/>
    </row>
    <row r="34" customFormat="false" ht="15" hidden="false" customHeight="false" outlineLevel="0" collapsed="false">
      <c r="A34" s="21" t="s">
        <v>994</v>
      </c>
      <c r="B34" s="76" t="n">
        <f aca="false">ROOM_KWH*MJ_PER_KWH</f>
        <v>4390.59891891892</v>
      </c>
    </row>
    <row r="35" customFormat="false" ht="15" hidden="false" customHeight="true" outlineLevel="0" collapsed="false">
      <c r="A35" s="21" t="s">
        <v>995</v>
      </c>
      <c r="B35" s="71" t="n">
        <f aca="false">ROOM_EUI_MJ</f>
        <v>292.706594594595</v>
      </c>
      <c r="C35" s="21" t="s">
        <v>996</v>
      </c>
      <c r="D35" s="21"/>
      <c r="E35" s="21"/>
      <c r="F35" s="21"/>
      <c r="G35" s="21"/>
      <c r="H35" s="21"/>
    </row>
    <row r="36" customFormat="false" ht="15" hidden="false" customHeight="false" outlineLevel="0" collapsed="false">
      <c r="A36" s="21" t="s">
        <v>997</v>
      </c>
    </row>
    <row r="37" customFormat="false" ht="15" hidden="false" customHeight="false" outlineLevel="0" collapsed="false">
      <c r="B37" s="12" t="s">
        <v>83</v>
      </c>
      <c r="C37" s="12" t="s">
        <v>90</v>
      </c>
      <c r="D37" s="12" t="s">
        <v>94</v>
      </c>
      <c r="E37" s="12" t="s">
        <v>98</v>
      </c>
      <c r="F37" s="12" t="s">
        <v>103</v>
      </c>
      <c r="G37" s="12" t="s">
        <v>107</v>
      </c>
    </row>
    <row r="38" customFormat="false" ht="15" hidden="false" customHeight="false" outlineLevel="0" collapsed="false">
      <c r="B38" s="59" t="n">
        <f aca="false">Monthly!Q6</f>
        <v>16.8676506401138</v>
      </c>
      <c r="C38" s="59" t="n">
        <f aca="false">Monthly!Q7</f>
        <v>16.0612506401138</v>
      </c>
      <c r="D38" s="59" t="n">
        <f aca="false">Monthly!Q8</f>
        <v>16.8676506401138</v>
      </c>
      <c r="E38" s="59" t="n">
        <f aca="false">Monthly!Q9</f>
        <v>16.5988506401138</v>
      </c>
      <c r="F38" s="59" t="n">
        <f aca="false">Monthly!Q10</f>
        <v>32.2303817923186</v>
      </c>
      <c r="G38" s="59" t="n">
        <f aca="false">Monthly!Q11</f>
        <v>31.9615817923186</v>
      </c>
    </row>
    <row r="39" customFormat="false" ht="15" hidden="false" customHeight="false" outlineLevel="0" collapsed="false">
      <c r="B39" s="12" t="s">
        <v>110</v>
      </c>
      <c r="C39" s="12" t="s">
        <v>115</v>
      </c>
      <c r="D39" s="12" t="s">
        <v>121</v>
      </c>
      <c r="E39" s="12" t="s">
        <v>125</v>
      </c>
      <c r="F39" s="12" t="s">
        <v>132</v>
      </c>
      <c r="G39" s="12" t="s">
        <v>137</v>
      </c>
    </row>
    <row r="40" customFormat="false" ht="15" hidden="false" customHeight="false" outlineLevel="0" collapsed="false">
      <c r="B40" s="59" t="n">
        <f aca="false">Monthly!Q12</f>
        <v>32.2303817923186</v>
      </c>
      <c r="C40" s="59" t="n">
        <f aca="false">Monthly!Q13</f>
        <v>32.2303817923186</v>
      </c>
      <c r="D40" s="59" t="n">
        <f aca="false">Monthly!Q14</f>
        <v>31.9615817923186</v>
      </c>
      <c r="E40" s="59" t="n">
        <f aca="false">Monthly!Q15</f>
        <v>32.2303817923186</v>
      </c>
      <c r="F40" s="59" t="n">
        <f aca="false">Monthly!Q16</f>
        <v>16.5988506401138</v>
      </c>
      <c r="G40" s="59" t="n">
        <f aca="false">Monthly!Q17</f>
        <v>16.8676506401138</v>
      </c>
    </row>
    <row r="41" customFormat="false" ht="15" hidden="false" customHeight="false" outlineLevel="0" collapsed="false">
      <c r="A41" s="21" t="s">
        <v>998</v>
      </c>
    </row>
    <row r="42" customFormat="false" ht="15" hidden="false" customHeight="false" outlineLevel="0" collapsed="false">
      <c r="B42" s="12" t="s">
        <v>554</v>
      </c>
      <c r="C42" s="12" t="s">
        <v>559</v>
      </c>
      <c r="D42" s="12" t="s">
        <v>669</v>
      </c>
      <c r="E42" s="12" t="s">
        <v>575</v>
      </c>
    </row>
    <row r="43" customFormat="false" ht="15" hidden="false" customHeight="false" outlineLevel="0" collapsed="false">
      <c r="B43" s="31" t="n">
        <f aca="false">Breakdown!F21</f>
        <v>3234.27891891892</v>
      </c>
      <c r="C43" s="31" t="n">
        <f aca="false">Breakdown!F22</f>
        <v>420.48</v>
      </c>
      <c r="D43" s="31" t="n">
        <f aca="false">Breakdown!F24</f>
        <v>0</v>
      </c>
      <c r="E43" s="31" t="n">
        <f aca="false">Breakdown!F23</f>
        <v>735.84</v>
      </c>
    </row>
    <row r="44" customFormat="false" ht="23.85" hidden="false" customHeight="false" outlineLevel="0" collapsed="false">
      <c r="A44" s="21" t="s">
        <v>999</v>
      </c>
      <c r="B44" s="77" t="n">
        <f aca="false">SHARED_KWH/HH_KWH</f>
        <v>0.528450113479665</v>
      </c>
    </row>
    <row r="45" customFormat="false" ht="15" hidden="false" customHeight="true" outlineLevel="0" collapsed="false">
      <c r="A45" s="21" t="s">
        <v>1000</v>
      </c>
      <c r="B45" s="21" t="s">
        <v>1001</v>
      </c>
      <c r="C45" s="21"/>
      <c r="D45" s="21"/>
      <c r="E45" s="21"/>
      <c r="F45" s="21"/>
      <c r="G45" s="21"/>
      <c r="H45" s="21"/>
    </row>
    <row r="47" customFormat="false" ht="15" hidden="false" customHeight="false" outlineLevel="0" collapsed="false">
      <c r="A47" s="10" t="s">
        <v>1002</v>
      </c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2" t="s">
        <v>1003</v>
      </c>
      <c r="B48" s="12" t="s">
        <v>909</v>
      </c>
      <c r="C48" s="12" t="s">
        <v>910</v>
      </c>
      <c r="D48" s="12" t="s">
        <v>911</v>
      </c>
    </row>
    <row r="49" customFormat="false" ht="15" hidden="false" customHeight="false" outlineLevel="0" collapsed="false">
      <c r="A49" s="8" t="s">
        <v>906</v>
      </c>
      <c r="B49" s="50" t="n">
        <f aca="false">EMO_Register!B27</f>
        <v>8</v>
      </c>
      <c r="C49" s="50" t="n">
        <f aca="false">EMO_Register!B28</f>
        <v>6</v>
      </c>
      <c r="D49" s="50" t="n">
        <f aca="false">EMO_Register!B29</f>
        <v>4</v>
      </c>
    </row>
    <row r="50" customFormat="false" ht="15" hidden="false" customHeight="false" outlineLevel="0" collapsed="false">
      <c r="A50" s="12" t="s">
        <v>1003</v>
      </c>
      <c r="B50" s="12" t="s">
        <v>559</v>
      </c>
      <c r="C50" s="12" t="s">
        <v>554</v>
      </c>
      <c r="D50" s="12" t="s">
        <v>1004</v>
      </c>
      <c r="E50" s="12" t="s">
        <v>1005</v>
      </c>
      <c r="F50" s="12" t="s">
        <v>575</v>
      </c>
    </row>
    <row r="51" customFormat="false" ht="15" hidden="false" customHeight="false" outlineLevel="0" collapsed="false">
      <c r="A51" s="8" t="s">
        <v>906</v>
      </c>
      <c r="B51" s="50" t="n">
        <f aca="false">EMO_Register!B34</f>
        <v>1</v>
      </c>
      <c r="C51" s="50" t="n">
        <f aca="false">EMO_Register!B35</f>
        <v>8</v>
      </c>
      <c r="D51" s="50" t="n">
        <f aca="false">EMO_Register!B36</f>
        <v>2</v>
      </c>
      <c r="E51" s="50" t="n">
        <f aca="false">EMO_Register!B37</f>
        <v>0</v>
      </c>
      <c r="F51" s="50" t="n">
        <f aca="false">EMO_Register!B38</f>
        <v>7</v>
      </c>
    </row>
    <row r="52" customFormat="false" ht="35.05" hidden="false" customHeight="false" outlineLevel="0" collapsed="false">
      <c r="A52" s="12" t="s">
        <v>1006</v>
      </c>
      <c r="B52" s="12" t="s">
        <v>664</v>
      </c>
      <c r="C52" s="12" t="s">
        <v>822</v>
      </c>
      <c r="D52" s="12" t="s">
        <v>1007</v>
      </c>
    </row>
    <row r="53" customFormat="false" ht="23.85" hidden="false" customHeight="false" outlineLevel="0" collapsed="false">
      <c r="A53" s="9" t="str">
        <f aca="false">EMO_Register!A6</f>
        <v>EMO-01</v>
      </c>
      <c r="B53" s="9" t="str">
        <f aca="false">EMO_Register!B6</f>
        <v>I</v>
      </c>
      <c r="C53" s="9" t="str">
        <f aca="false">EMO_Register!C6</f>
        <v>AC</v>
      </c>
      <c r="D53" s="78" t="str">
        <f aca="false">EMO_Register!E6</f>
        <v>Raise the AC set-point from 25 °C to 26 °C and keep the 20 W desk fan running for air movement</v>
      </c>
      <c r="E53" s="78"/>
      <c r="F53" s="78"/>
      <c r="G53" s="78"/>
      <c r="H53" s="78"/>
    </row>
    <row r="54" customFormat="false" ht="23.85" hidden="false" customHeight="false" outlineLevel="0" collapsed="false">
      <c r="A54" s="9" t="str">
        <f aca="false">EMO_Register!A7</f>
        <v>EMO-02</v>
      </c>
      <c r="B54" s="9" t="str">
        <f aca="false">EMO_Register!B7</f>
        <v>I</v>
      </c>
      <c r="C54" s="9" t="str">
        <f aca="false">EMO_Register!C7</f>
        <v>AC</v>
      </c>
      <c r="D54" s="78" t="str">
        <f aca="false">EMO_Register!E7</f>
        <v>Use the AC's built-in timer to switch off 2 h before waking in hot months (12 to 10 h/day)</v>
      </c>
      <c r="E54" s="78"/>
      <c r="F54" s="78"/>
      <c r="G54" s="78"/>
      <c r="H54" s="78"/>
    </row>
    <row r="55" customFormat="false" ht="23.85" hidden="false" customHeight="false" outlineLevel="0" collapsed="false">
      <c r="A55" s="9" t="str">
        <f aca="false">EMO_Register!A8</f>
        <v>EMO-03</v>
      </c>
      <c r="B55" s="9" t="str">
        <f aca="false">EMO_Register!B8</f>
        <v>I</v>
      </c>
      <c r="C55" s="9" t="str">
        <f aca="false">EMO_Register!C8</f>
        <v>AC</v>
      </c>
      <c r="D55" s="78" t="str">
        <f aca="false">EMO_Register!E8</f>
        <v>Clean the AC filter fortnightly in summer, wipe the soiled louvres, close the curtain against late-afternoon NW sun</v>
      </c>
      <c r="E55" s="78"/>
      <c r="F55" s="78"/>
      <c r="G55" s="78"/>
      <c r="H55" s="78"/>
    </row>
    <row r="56" customFormat="false" ht="15" hidden="false" customHeight="false" outlineLevel="0" collapsed="false">
      <c r="A56" s="9" t="str">
        <f aca="false">EMO_Register!A9</f>
        <v>EMO-04</v>
      </c>
      <c r="B56" s="9" t="str">
        <f aca="false">EMO_Register!B9</f>
        <v>I</v>
      </c>
      <c r="C56" s="9" t="str">
        <f aca="false">EMO_Register!C9</f>
        <v>LG</v>
      </c>
      <c r="D56" s="78" t="str">
        <f aca="false">EMO_Register!E9</f>
        <v>Use the desk task lights instead of both ceiling battens for 3 of the 6 lit hours</v>
      </c>
      <c r="E56" s="78"/>
      <c r="F56" s="78"/>
      <c r="G56" s="78"/>
      <c r="H56" s="78"/>
    </row>
    <row r="57" customFormat="false" ht="15" hidden="false" customHeight="false" outlineLevel="0" collapsed="false">
      <c r="A57" s="9" t="str">
        <f aca="false">EMO_Register!A10</f>
        <v>EMO-05</v>
      </c>
      <c r="B57" s="9" t="str">
        <f aca="false">EMO_Register!B10</f>
        <v>I</v>
      </c>
      <c r="C57" s="9" t="str">
        <f aca="false">EMO_Register!C10</f>
        <v>Others</v>
      </c>
      <c r="D57" s="78" t="str">
        <f aca="false">EMO_Register!E10</f>
        <v>Shorten showers from 5 to 4 minutes</v>
      </c>
      <c r="E57" s="78"/>
      <c r="F57" s="78"/>
      <c r="G57" s="78"/>
      <c r="H57" s="78"/>
    </row>
    <row r="58" customFormat="false" ht="23.85" hidden="false" customHeight="false" outlineLevel="0" collapsed="false">
      <c r="A58" s="9" t="str">
        <f aca="false">EMO_Register!A11</f>
        <v>EMO-06</v>
      </c>
      <c r="B58" s="9" t="str">
        <f aca="false">EMO_Register!B11</f>
        <v>I</v>
      </c>
      <c r="C58" s="9" t="str">
        <f aca="false">EMO_Register!C11</f>
        <v>Others</v>
      </c>
      <c r="D58" s="78" t="str">
        <f aca="false">EMO_Register!E11</f>
        <v>Lower the delivered shower temperature from 40 °C to 38 °C (turn the heater dial down)</v>
      </c>
      <c r="E58" s="78"/>
      <c r="F58" s="78"/>
      <c r="G58" s="78"/>
      <c r="H58" s="78"/>
    </row>
    <row r="59" customFormat="false" ht="23.85" hidden="false" customHeight="false" outlineLevel="0" collapsed="false">
      <c r="A59" s="9" t="str">
        <f aca="false">EMO_Register!A12</f>
        <v>EMO-07</v>
      </c>
      <c r="B59" s="9" t="str">
        <f aca="false">EMO_Register!B12</f>
        <v>I</v>
      </c>
      <c r="C59" s="9" t="str">
        <f aca="false">EMO_Register!C12</f>
        <v>EL</v>
      </c>
      <c r="D59" s="78" t="str">
        <f aca="false">EMO_Register!E12</f>
        <v>Laptop power management: lower brightness, sleep after 10 min idle, battery-saver mode</v>
      </c>
      <c r="E59" s="78"/>
      <c r="F59" s="78"/>
      <c r="G59" s="78"/>
      <c r="H59" s="78"/>
    </row>
    <row r="60" customFormat="false" ht="15" hidden="false" customHeight="false" outlineLevel="0" collapsed="false">
      <c r="A60" s="9" t="str">
        <f aca="false">EMO_Register!A13</f>
        <v>EMO-08</v>
      </c>
      <c r="B60" s="9" t="str">
        <f aca="false">EMO_Register!B13</f>
        <v>I</v>
      </c>
      <c r="C60" s="9" t="str">
        <f aca="false">EMO_Register!C13</f>
        <v>Others</v>
      </c>
      <c r="D60" s="78" t="str">
        <f aca="false">EMO_Register!E13</f>
        <v>Cook with lids, match pan to the induction zone, batch-cook two meals per session</v>
      </c>
      <c r="E60" s="78"/>
      <c r="F60" s="78"/>
      <c r="G60" s="78"/>
      <c r="H60" s="78"/>
    </row>
    <row r="61" customFormat="false" ht="23.85" hidden="false" customHeight="false" outlineLevel="0" collapsed="false">
      <c r="A61" s="9" t="str">
        <f aca="false">EMO_Register!A14</f>
        <v>EMO-09</v>
      </c>
      <c r="B61" s="9" t="str">
        <f aca="false">EMO_Register!B14</f>
        <v>II</v>
      </c>
      <c r="C61" s="9" t="str">
        <f aca="false">EMO_Register!C14</f>
        <v>AC</v>
      </c>
      <c r="D61" s="78" t="str">
        <f aca="false">EMO_Register!E14</f>
        <v>Washroom exhaust fan: replace 24 h running with an occupancy / humidistat run-on control (~8 h/day)</v>
      </c>
      <c r="E61" s="78"/>
      <c r="F61" s="78"/>
      <c r="G61" s="78"/>
      <c r="H61" s="78"/>
    </row>
    <row r="62" customFormat="false" ht="23.85" hidden="false" customHeight="false" outlineLevel="0" collapsed="false">
      <c r="A62" s="9" t="str">
        <f aca="false">EMO_Register!A15</f>
        <v>EMO-10</v>
      </c>
      <c r="B62" s="9" t="str">
        <f aca="false">EMO_Register!B15</f>
        <v>II</v>
      </c>
      <c r="C62" s="9" t="str">
        <f aca="false">EMO_Register!C15</f>
        <v>AC</v>
      </c>
      <c r="D62" s="78" t="str">
        <f aca="false">EMO_Register!E15</f>
        <v>Kitchen AC: 7-day timer + occupancy interlock, set-point locked at 25.5 °C (8 to 5 h/day hot, 4 to 2 h/day cool)</v>
      </c>
      <c r="E62" s="78"/>
      <c r="F62" s="78"/>
      <c r="G62" s="78"/>
      <c r="H62" s="78"/>
    </row>
    <row r="63" customFormat="false" ht="15" hidden="false" customHeight="false" outlineLevel="0" collapsed="false">
      <c r="A63" s="9" t="str">
        <f aca="false">EMO_Register!A16</f>
        <v>EMO-11</v>
      </c>
      <c r="B63" s="9" t="str">
        <f aca="false">EMO_Register!B16</f>
        <v>II</v>
      </c>
      <c r="C63" s="9" t="str">
        <f aca="false">EMO_Register!C16</f>
        <v>Others</v>
      </c>
      <c r="D63" s="78" t="str">
        <f aca="false">EMO_Register!E16</f>
        <v>Water dispenser: enable night set-back / timer on hot and ice tanks (00:00-06:00)</v>
      </c>
      <c r="E63" s="78"/>
      <c r="F63" s="78"/>
      <c r="G63" s="78"/>
      <c r="H63" s="78"/>
    </row>
    <row r="64" customFormat="false" ht="15" hidden="false" customHeight="false" outlineLevel="0" collapsed="false">
      <c r="A64" s="9" t="str">
        <f aca="false">EMO_Register!A17</f>
        <v>EMO-12</v>
      </c>
      <c r="B64" s="9" t="str">
        <f aca="false">EMO_Register!B17</f>
        <v>II</v>
      </c>
      <c r="C64" s="9" t="str">
        <f aca="false">EMO_Register!C17</f>
        <v>Others</v>
      </c>
      <c r="D64" s="78" t="str">
        <f aca="false">EMO_Register!E17</f>
        <v>Fit a WELS Grade-1 low-flow showerhead (9 to 7 L/min) in the shared washroom</v>
      </c>
      <c r="E64" s="78"/>
      <c r="F64" s="78"/>
      <c r="G64" s="78"/>
      <c r="H64" s="78"/>
    </row>
    <row r="65" customFormat="false" ht="23.85" hidden="false" customHeight="false" outlineLevel="0" collapsed="false">
      <c r="A65" s="9" t="str">
        <f aca="false">EMO_Register!A18</f>
        <v>EMO-13</v>
      </c>
      <c r="B65" s="9" t="str">
        <f aca="false">EMO_Register!B18</f>
        <v>II</v>
      </c>
      <c r="C65" s="9" t="str">
        <f aca="false">EMO_Register!C18</f>
        <v>AC</v>
      </c>
      <c r="D65" s="78" t="str">
        <f aca="false">EMO_Register!E18</f>
        <v>Annual professional clean of the window-AC coil and louvres (heavy soiling seen in photo 03b)</v>
      </c>
      <c r="E65" s="78"/>
      <c r="F65" s="78"/>
      <c r="G65" s="78"/>
      <c r="H65" s="78"/>
    </row>
    <row r="66" customFormat="false" ht="23.85" hidden="false" customHeight="false" outlineLevel="0" collapsed="false">
      <c r="A66" s="9" t="str">
        <f aca="false">EMO_Register!A19</f>
        <v>EMO-14</v>
      </c>
      <c r="B66" s="9" t="str">
        <f aca="false">EMO_Register!B19</f>
        <v>II</v>
      </c>
      <c r="C66" s="9" t="str">
        <f aca="false">EMO_Register!C19</f>
        <v>EL</v>
      </c>
      <c r="D66" s="78" t="str">
        <f aca="false">EMO_Register!E19</f>
        <v>Buy a plug-in power meter (about HK$120) to measure the laptop, fan and AC and verify savings (EAC §7.6.3)</v>
      </c>
      <c r="E66" s="78"/>
      <c r="F66" s="78"/>
      <c r="G66" s="78"/>
      <c r="H66" s="78"/>
    </row>
    <row r="67" customFormat="false" ht="23.85" hidden="false" customHeight="false" outlineLevel="0" collapsed="false">
      <c r="A67" s="9" t="str">
        <f aca="false">EMO_Register!A20</f>
        <v>EMO-15</v>
      </c>
      <c r="B67" s="9" t="str">
        <f aca="false">EMO_Register!B20</f>
        <v>III</v>
      </c>
      <c r="C67" s="9" t="str">
        <f aca="false">EMO_Register!C20</f>
        <v>Others</v>
      </c>
      <c r="D67" s="78" t="str">
        <f aca="false">EMO_Register!E20</f>
        <v>Replace 24.4 kW instantaneous shower heaters with central air-source heat-pump water heating (COP about 3.5) and storage</v>
      </c>
      <c r="E67" s="78"/>
      <c r="F67" s="78"/>
      <c r="G67" s="78"/>
      <c r="H67" s="78"/>
    </row>
    <row r="68" customFormat="false" ht="23.85" hidden="false" customHeight="false" outlineLevel="0" collapsed="false">
      <c r="A68" s="9" t="str">
        <f aca="false">EMO_Register!A21</f>
        <v>EMO-16</v>
      </c>
      <c r="B68" s="9" t="str">
        <f aca="false">EMO_Register!B21</f>
        <v>III</v>
      </c>
      <c r="C68" s="9" t="str">
        <f aca="false">EMO_Register!C21</f>
        <v>AC</v>
      </c>
      <c r="D68" s="78" t="str">
        <f aca="false">EMO_Register!E21</f>
        <v>Replace the Grade-1 window AC (CSPF 4.66) with a best-in-class split unit (CSPF about 7.5)</v>
      </c>
      <c r="E68" s="78"/>
      <c r="F68" s="78"/>
      <c r="G68" s="78"/>
      <c r="H68" s="78"/>
    </row>
    <row r="69" customFormat="false" ht="15" hidden="false" customHeight="false" outlineLevel="0" collapsed="false">
      <c r="A69" s="9" t="str">
        <f aca="false">EMO_Register!A22</f>
        <v>EMO-17</v>
      </c>
      <c r="B69" s="9" t="str">
        <f aca="false">EMO_Register!B22</f>
        <v>III</v>
      </c>
      <c r="C69" s="9" t="str">
        <f aca="false">EMO_Register!C22</f>
        <v>AC</v>
      </c>
      <c r="D69" s="78" t="str">
        <f aca="false">EMO_Register!E22</f>
        <v>Solar-control film on the NW single glazing (1.55 m²)</v>
      </c>
      <c r="E69" s="78"/>
      <c r="F69" s="78"/>
      <c r="G69" s="78"/>
      <c r="H69" s="78"/>
    </row>
    <row r="70" customFormat="false" ht="23.85" hidden="false" customHeight="false" outlineLevel="0" collapsed="false">
      <c r="A70" s="9" t="str">
        <f aca="false">EMO_Register!A23</f>
        <v>EMO-18</v>
      </c>
      <c r="B70" s="9" t="str">
        <f aca="false">EMO_Register!B23</f>
        <v>III</v>
      </c>
      <c r="C70" s="9" t="str">
        <f aca="false">EMO_Register!C23</f>
        <v>Others</v>
      </c>
      <c r="D70" s="78" t="str">
        <f aca="false">EMO_Register!E23</f>
        <v>Expand rooftop solar PV under the CLP Feed-in Tariff (the village already has 110 panels)</v>
      </c>
      <c r="E70" s="78"/>
      <c r="F70" s="78"/>
      <c r="G70" s="78"/>
      <c r="H70" s="78"/>
    </row>
  </sheetData>
  <mergeCells count="36">
    <mergeCell ref="B5:H5"/>
    <mergeCell ref="B6:H6"/>
    <mergeCell ref="B7:H7"/>
    <mergeCell ref="B8:H8"/>
    <mergeCell ref="B9:H9"/>
    <mergeCell ref="B10:H10"/>
    <mergeCell ref="B11:H11"/>
    <mergeCell ref="B14:H14"/>
    <mergeCell ref="B15:H15"/>
    <mergeCell ref="B16:H16"/>
    <mergeCell ref="B18:H18"/>
    <mergeCell ref="B19:H19"/>
    <mergeCell ref="B20:H20"/>
    <mergeCell ref="B21:H21"/>
    <mergeCell ref="C32:H32"/>
    <mergeCell ref="C33:H33"/>
    <mergeCell ref="C35:H35"/>
    <mergeCell ref="B45:H45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1008</v>
      </c>
    </row>
    <row r="2" customFormat="false" ht="15" hidden="false" customHeight="false" outlineLevel="0" collapsed="false">
      <c r="A2" s="2" t="s">
        <v>1009</v>
      </c>
    </row>
    <row r="4" customFormat="false" ht="30" hidden="false" customHeight="true" outlineLevel="0" collapsed="false">
      <c r="A4" s="12" t="s">
        <v>1010</v>
      </c>
      <c r="B4" s="12" t="s">
        <v>1011</v>
      </c>
      <c r="C4" s="12" t="s">
        <v>1012</v>
      </c>
      <c r="D4" s="12" t="s">
        <v>1013</v>
      </c>
      <c r="E4" s="12" t="s">
        <v>1014</v>
      </c>
    </row>
    <row r="5" customFormat="false" ht="23.85" hidden="false" customHeight="false" outlineLevel="0" collapsed="false">
      <c r="A5" s="8" t="s">
        <v>1015</v>
      </c>
      <c r="B5" s="17" t="s">
        <v>1016</v>
      </c>
      <c r="C5" s="21" t="s">
        <v>1017</v>
      </c>
      <c r="D5" s="21" t="s">
        <v>1018</v>
      </c>
      <c r="E5" s="21"/>
    </row>
    <row r="6" customFormat="false" ht="15" hidden="false" customHeight="false" outlineLevel="0" collapsed="false">
      <c r="A6" s="8" t="s">
        <v>1015</v>
      </c>
      <c r="B6" s="17" t="s">
        <v>1019</v>
      </c>
      <c r="C6" s="21" t="s">
        <v>947</v>
      </c>
      <c r="D6" s="21" t="s">
        <v>948</v>
      </c>
      <c r="E6" s="21"/>
    </row>
    <row r="7" customFormat="false" ht="15" hidden="false" customHeight="false" outlineLevel="0" collapsed="false">
      <c r="A7" s="8" t="s">
        <v>1015</v>
      </c>
      <c r="B7" s="17" t="s">
        <v>1020</v>
      </c>
      <c r="C7" s="21" t="s">
        <v>1021</v>
      </c>
      <c r="D7" s="21" t="s">
        <v>950</v>
      </c>
      <c r="E7" s="21" t="s">
        <v>1022</v>
      </c>
    </row>
    <row r="8" customFormat="false" ht="15" hidden="false" customHeight="false" outlineLevel="0" collapsed="false">
      <c r="A8" s="8" t="s">
        <v>1015</v>
      </c>
      <c r="B8" s="17" t="s">
        <v>1023</v>
      </c>
      <c r="C8" s="21" t="s">
        <v>1024</v>
      </c>
      <c r="D8" s="21" t="s">
        <v>952</v>
      </c>
      <c r="E8" s="21" t="s">
        <v>1022</v>
      </c>
    </row>
    <row r="9" customFormat="false" ht="15" hidden="false" customHeight="false" outlineLevel="0" collapsed="false">
      <c r="A9" s="8" t="s">
        <v>1015</v>
      </c>
      <c r="B9" s="17" t="s">
        <v>1025</v>
      </c>
      <c r="C9" s="21" t="s">
        <v>1026</v>
      </c>
      <c r="D9" s="21" t="s">
        <v>1027</v>
      </c>
      <c r="E9" s="21" t="s">
        <v>1028</v>
      </c>
    </row>
    <row r="10" customFormat="false" ht="15" hidden="false" customHeight="false" outlineLevel="0" collapsed="false">
      <c r="A10" s="8" t="s">
        <v>1015</v>
      </c>
      <c r="B10" s="17" t="s">
        <v>1029</v>
      </c>
      <c r="C10" s="21" t="s">
        <v>1030</v>
      </c>
      <c r="D10" s="21" t="s">
        <v>956</v>
      </c>
      <c r="E10" s="21"/>
    </row>
    <row r="11" customFormat="false" ht="15" hidden="false" customHeight="false" outlineLevel="0" collapsed="false">
      <c r="A11" s="8" t="s">
        <v>1015</v>
      </c>
      <c r="B11" s="17" t="s">
        <v>1031</v>
      </c>
      <c r="C11" s="21" t="s">
        <v>1032</v>
      </c>
      <c r="D11" s="21" t="s">
        <v>1033</v>
      </c>
      <c r="E11" s="21"/>
    </row>
    <row r="12" customFormat="false" ht="23.85" hidden="false" customHeight="false" outlineLevel="0" collapsed="false">
      <c r="A12" s="8" t="s">
        <v>1034</v>
      </c>
      <c r="B12" s="17" t="s">
        <v>1035</v>
      </c>
      <c r="C12" s="21" t="s">
        <v>960</v>
      </c>
      <c r="D12" s="21" t="s">
        <v>1036</v>
      </c>
      <c r="E12" s="21" t="s">
        <v>1037</v>
      </c>
    </row>
    <row r="13" customFormat="false" ht="15" hidden="false" customHeight="false" outlineLevel="0" collapsed="false">
      <c r="A13" s="8" t="s">
        <v>1034</v>
      </c>
      <c r="B13" s="17" t="s">
        <v>1038</v>
      </c>
      <c r="C13" s="21" t="s">
        <v>1039</v>
      </c>
      <c r="D13" s="21" t="s">
        <v>1040</v>
      </c>
      <c r="E13" s="21"/>
    </row>
    <row r="14" customFormat="false" ht="15" hidden="false" customHeight="false" outlineLevel="0" collapsed="false">
      <c r="A14" s="8" t="s">
        <v>1034</v>
      </c>
      <c r="B14" s="17" t="s">
        <v>1041</v>
      </c>
      <c r="C14" s="21" t="s">
        <v>1042</v>
      </c>
      <c r="D14" s="79" t="n">
        <v>0</v>
      </c>
      <c r="E14" s="21"/>
    </row>
    <row r="15" customFormat="false" ht="15" hidden="false" customHeight="false" outlineLevel="0" collapsed="false">
      <c r="A15" s="8" t="s">
        <v>1034</v>
      </c>
      <c r="B15" s="17" t="s">
        <v>1043</v>
      </c>
      <c r="C15" s="21" t="s">
        <v>964</v>
      </c>
      <c r="D15" s="79" t="n">
        <v>1</v>
      </c>
      <c r="E15" s="21" t="s">
        <v>1044</v>
      </c>
    </row>
    <row r="16" customFormat="false" ht="15" hidden="false" customHeight="false" outlineLevel="0" collapsed="false">
      <c r="A16" s="8" t="s">
        <v>1034</v>
      </c>
      <c r="B16" s="17" t="s">
        <v>1045</v>
      </c>
      <c r="C16" s="21" t="s">
        <v>1046</v>
      </c>
      <c r="D16" s="71" t="n">
        <f aca="false">ROOM_AREA</f>
        <v>15</v>
      </c>
      <c r="E16" s="21"/>
    </row>
    <row r="17" customFormat="false" ht="15" hidden="false" customHeight="false" outlineLevel="0" collapsed="false">
      <c r="A17" s="8" t="s">
        <v>1034</v>
      </c>
      <c r="B17" s="17" t="s">
        <v>1047</v>
      </c>
      <c r="C17" s="21" t="s">
        <v>1048</v>
      </c>
      <c r="D17" s="21" t="s">
        <v>1049</v>
      </c>
      <c r="E17" s="21"/>
    </row>
    <row r="18" customFormat="false" ht="15" hidden="false" customHeight="false" outlineLevel="0" collapsed="false">
      <c r="A18" s="8" t="s">
        <v>1034</v>
      </c>
      <c r="B18" s="17" t="s">
        <v>1050</v>
      </c>
      <c r="C18" s="21" t="s">
        <v>969</v>
      </c>
      <c r="D18" s="21" t="s">
        <v>1051</v>
      </c>
      <c r="E18" s="21"/>
    </row>
    <row r="19" customFormat="false" ht="15" hidden="false" customHeight="false" outlineLevel="0" collapsed="false">
      <c r="A19" s="8" t="s">
        <v>1034</v>
      </c>
      <c r="B19" s="17" t="s">
        <v>1052</v>
      </c>
      <c r="C19" s="21" t="s">
        <v>1053</v>
      </c>
      <c r="D19" s="21" t="s">
        <v>1054</v>
      </c>
      <c r="E19" s="21"/>
    </row>
    <row r="20" customFormat="false" ht="15" hidden="false" customHeight="false" outlineLevel="0" collapsed="false">
      <c r="A20" s="8" t="s">
        <v>1034</v>
      </c>
      <c r="B20" s="17" t="s">
        <v>1031</v>
      </c>
      <c r="C20" s="21" t="s">
        <v>1055</v>
      </c>
      <c r="D20" s="21" t="s">
        <v>1056</v>
      </c>
      <c r="E20" s="21" t="s">
        <v>1057</v>
      </c>
    </row>
    <row r="21" customFormat="false" ht="15" hidden="false" customHeight="false" outlineLevel="0" collapsed="false">
      <c r="A21" s="8" t="s">
        <v>1034</v>
      </c>
      <c r="B21" s="17" t="s">
        <v>1058</v>
      </c>
      <c r="C21" s="21" t="s">
        <v>1059</v>
      </c>
      <c r="D21" s="21" t="s">
        <v>1060</v>
      </c>
      <c r="E21" s="21" t="s">
        <v>1061</v>
      </c>
    </row>
    <row r="22" customFormat="false" ht="15" hidden="false" customHeight="false" outlineLevel="0" collapsed="false">
      <c r="A22" s="8" t="s">
        <v>1034</v>
      </c>
      <c r="B22" s="17" t="s">
        <v>1062</v>
      </c>
      <c r="C22" s="21" t="s">
        <v>1063</v>
      </c>
      <c r="D22" s="72" t="n">
        <f aca="false">OCC_WKDAY_H*5</f>
        <v>65</v>
      </c>
      <c r="E22" s="21"/>
    </row>
    <row r="23" customFormat="false" ht="15" hidden="false" customHeight="false" outlineLevel="0" collapsed="false">
      <c r="A23" s="8" t="s">
        <v>1034</v>
      </c>
      <c r="B23" s="17" t="s">
        <v>1064</v>
      </c>
      <c r="C23" s="21" t="s">
        <v>1065</v>
      </c>
      <c r="D23" s="72" t="n">
        <f aca="false">OCC_SAT_H+OCC_SUN_H</f>
        <v>38</v>
      </c>
      <c r="E23" s="21"/>
    </row>
    <row r="24" customFormat="false" ht="15" hidden="false" customHeight="false" outlineLevel="0" collapsed="false">
      <c r="A24" s="8" t="s">
        <v>1034</v>
      </c>
      <c r="B24" s="17" t="s">
        <v>1029</v>
      </c>
      <c r="C24" s="21" t="s">
        <v>1066</v>
      </c>
      <c r="D24" s="72" t="n">
        <f aca="false">OCC_WKDAY_H*5+OCC_SAT_H+OCC_SUN_H</f>
        <v>103</v>
      </c>
      <c r="E24" s="21"/>
    </row>
    <row r="25" customFormat="false" ht="15" hidden="false" customHeight="false" outlineLevel="0" collapsed="false">
      <c r="A25" s="8" t="s">
        <v>1034</v>
      </c>
      <c r="B25" s="17" t="s">
        <v>1067</v>
      </c>
      <c r="C25" s="21" t="s">
        <v>1068</v>
      </c>
      <c r="D25" s="72" t="n">
        <f aca="false">OCC</f>
        <v>2</v>
      </c>
      <c r="E25" s="21"/>
    </row>
    <row r="26" customFormat="false" ht="15" hidden="false" customHeight="false" outlineLevel="0" collapsed="false">
      <c r="A26" s="8" t="s">
        <v>1069</v>
      </c>
      <c r="B26" s="17" t="s">
        <v>1070</v>
      </c>
      <c r="C26" s="21" t="s">
        <v>1071</v>
      </c>
      <c r="D26" s="74" t="n">
        <f aca="false">ROUND(ROOM_KWH,1)</f>
        <v>1219.6</v>
      </c>
      <c r="E26" s="21" t="s">
        <v>1072</v>
      </c>
    </row>
    <row r="27" customFormat="false" ht="15" hidden="false" customHeight="false" outlineLevel="0" collapsed="false">
      <c r="A27" s="8" t="s">
        <v>1069</v>
      </c>
      <c r="B27" s="17" t="s">
        <v>1073</v>
      </c>
      <c r="C27" s="21" t="s">
        <v>1074</v>
      </c>
      <c r="D27" s="21" t="s">
        <v>1027</v>
      </c>
      <c r="E27" s="21" t="s">
        <v>1075</v>
      </c>
    </row>
    <row r="28" customFormat="false" ht="15" hidden="false" customHeight="false" outlineLevel="0" collapsed="false">
      <c r="A28" s="8" t="s">
        <v>1069</v>
      </c>
      <c r="B28" s="17" t="s">
        <v>1076</v>
      </c>
      <c r="C28" s="21" t="s">
        <v>1077</v>
      </c>
      <c r="D28" s="79" t="n">
        <v>0</v>
      </c>
      <c r="E28" s="21" t="s">
        <v>1078</v>
      </c>
    </row>
    <row r="29" customFormat="false" ht="15" hidden="false" customHeight="false" outlineLevel="0" collapsed="false">
      <c r="A29" s="8" t="s">
        <v>1069</v>
      </c>
      <c r="B29" s="17" t="s">
        <v>1079</v>
      </c>
      <c r="C29" s="21" t="s">
        <v>1080</v>
      </c>
      <c r="D29" s="21" t="s">
        <v>1027</v>
      </c>
      <c r="E29" s="21"/>
    </row>
    <row r="30" customFormat="false" ht="23.85" hidden="false" customHeight="false" outlineLevel="0" collapsed="false">
      <c r="A30" s="8" t="s">
        <v>1069</v>
      </c>
      <c r="B30" s="17" t="s">
        <v>1081</v>
      </c>
      <c r="C30" s="21" t="s">
        <v>1082</v>
      </c>
      <c r="D30" s="80" t="n">
        <f aca="false">ROUND(Monthly!Q15,2)</f>
        <v>32.23</v>
      </c>
      <c r="E30" s="21" t="s">
        <v>1083</v>
      </c>
    </row>
    <row r="31" customFormat="false" ht="23.85" hidden="false" customHeight="false" outlineLevel="0" collapsed="false">
      <c r="A31" s="8" t="s">
        <v>1069</v>
      </c>
      <c r="B31" s="17" t="s">
        <v>1084</v>
      </c>
      <c r="C31" s="21" t="s">
        <v>1085</v>
      </c>
      <c r="D31" s="80" t="n">
        <f aca="false">ROUND(Monthly!Q16,2)</f>
        <v>16.6</v>
      </c>
      <c r="E31" s="21" t="s">
        <v>1083</v>
      </c>
    </row>
    <row r="32" customFormat="false" ht="23.85" hidden="false" customHeight="false" outlineLevel="0" collapsed="false">
      <c r="A32" s="8" t="s">
        <v>1069</v>
      </c>
      <c r="B32" s="17" t="s">
        <v>1086</v>
      </c>
      <c r="C32" s="21" t="s">
        <v>1087</v>
      </c>
      <c r="D32" s="80" t="n">
        <f aca="false">ROUND(Monthly!Q17,2)</f>
        <v>16.87</v>
      </c>
      <c r="E32" s="21" t="s">
        <v>1083</v>
      </c>
    </row>
    <row r="33" customFormat="false" ht="23.85" hidden="false" customHeight="false" outlineLevel="0" collapsed="false">
      <c r="A33" s="8" t="s">
        <v>1069</v>
      </c>
      <c r="B33" s="17" t="s">
        <v>1088</v>
      </c>
      <c r="C33" s="21" t="s">
        <v>1089</v>
      </c>
      <c r="D33" s="80" t="n">
        <f aca="false">ROUND(Monthly!Q6,2)</f>
        <v>16.87</v>
      </c>
      <c r="E33" s="21" t="s">
        <v>1083</v>
      </c>
    </row>
    <row r="34" customFormat="false" ht="23.85" hidden="false" customHeight="false" outlineLevel="0" collapsed="false">
      <c r="A34" s="8" t="s">
        <v>1069</v>
      </c>
      <c r="B34" s="17" t="s">
        <v>1019</v>
      </c>
      <c r="C34" s="21" t="s">
        <v>1090</v>
      </c>
      <c r="D34" s="80" t="n">
        <f aca="false">ROUND(Monthly!Q7,2)</f>
        <v>16.06</v>
      </c>
      <c r="E34" s="21" t="s">
        <v>1083</v>
      </c>
    </row>
    <row r="35" customFormat="false" ht="23.85" hidden="false" customHeight="false" outlineLevel="0" collapsed="false">
      <c r="A35" s="8" t="s">
        <v>1069</v>
      </c>
      <c r="B35" s="17" t="s">
        <v>1091</v>
      </c>
      <c r="C35" s="21" t="s">
        <v>1092</v>
      </c>
      <c r="D35" s="80" t="n">
        <f aca="false">ROUND(Monthly!Q8,2)</f>
        <v>16.87</v>
      </c>
      <c r="E35" s="21" t="s">
        <v>1083</v>
      </c>
    </row>
    <row r="36" customFormat="false" ht="23.85" hidden="false" customHeight="false" outlineLevel="0" collapsed="false">
      <c r="A36" s="8" t="s">
        <v>1069</v>
      </c>
      <c r="B36" s="17" t="s">
        <v>1093</v>
      </c>
      <c r="C36" s="21" t="s">
        <v>1094</v>
      </c>
      <c r="D36" s="80" t="n">
        <f aca="false">ROUND(Monthly!Q9,2)</f>
        <v>16.6</v>
      </c>
      <c r="E36" s="21" t="s">
        <v>1083</v>
      </c>
    </row>
    <row r="37" customFormat="false" ht="23.85" hidden="false" customHeight="false" outlineLevel="0" collapsed="false">
      <c r="A37" s="8" t="s">
        <v>1069</v>
      </c>
      <c r="B37" s="17" t="s">
        <v>1095</v>
      </c>
      <c r="C37" s="21" t="s">
        <v>1096</v>
      </c>
      <c r="D37" s="80" t="n">
        <f aca="false">ROUND(Monthly!Q10,2)</f>
        <v>32.23</v>
      </c>
      <c r="E37" s="21" t="s">
        <v>1083</v>
      </c>
    </row>
    <row r="38" customFormat="false" ht="23.85" hidden="false" customHeight="false" outlineLevel="0" collapsed="false">
      <c r="A38" s="8" t="s">
        <v>1069</v>
      </c>
      <c r="B38" s="17" t="s">
        <v>1097</v>
      </c>
      <c r="C38" s="21" t="s">
        <v>1098</v>
      </c>
      <c r="D38" s="80" t="n">
        <f aca="false">ROUND(Monthly!Q11,2)</f>
        <v>31.96</v>
      </c>
      <c r="E38" s="21" t="s">
        <v>1083</v>
      </c>
    </row>
    <row r="39" customFormat="false" ht="23.85" hidden="false" customHeight="false" outlineLevel="0" collapsed="false">
      <c r="A39" s="8" t="s">
        <v>1069</v>
      </c>
      <c r="B39" s="17" t="s">
        <v>1099</v>
      </c>
      <c r="C39" s="21" t="s">
        <v>1100</v>
      </c>
      <c r="D39" s="80" t="n">
        <f aca="false">ROUND(Monthly!Q12,2)</f>
        <v>32.23</v>
      </c>
      <c r="E39" s="21" t="s">
        <v>1083</v>
      </c>
    </row>
    <row r="40" customFormat="false" ht="23.85" hidden="false" customHeight="false" outlineLevel="0" collapsed="false">
      <c r="A40" s="8" t="s">
        <v>1069</v>
      </c>
      <c r="B40" s="17" t="s">
        <v>1101</v>
      </c>
      <c r="C40" s="21" t="s">
        <v>1102</v>
      </c>
      <c r="D40" s="80" t="n">
        <f aca="false">ROUND(Monthly!Q13,2)</f>
        <v>32.23</v>
      </c>
      <c r="E40" s="21" t="s">
        <v>1083</v>
      </c>
    </row>
    <row r="41" customFormat="false" ht="23.85" hidden="false" customHeight="false" outlineLevel="0" collapsed="false">
      <c r="A41" s="8" t="s">
        <v>1069</v>
      </c>
      <c r="B41" s="17" t="s">
        <v>1103</v>
      </c>
      <c r="C41" s="21" t="s">
        <v>1104</v>
      </c>
      <c r="D41" s="80" t="n">
        <f aca="false">ROUND(Monthly!Q14,2)</f>
        <v>31.96</v>
      </c>
      <c r="E41" s="21" t="s">
        <v>1083</v>
      </c>
    </row>
    <row r="42" customFormat="false" ht="15" hidden="false" customHeight="false" outlineLevel="0" collapsed="false">
      <c r="A42" s="8" t="s">
        <v>1069</v>
      </c>
      <c r="B42" s="17" t="s">
        <v>1105</v>
      </c>
      <c r="C42" s="21" t="s">
        <v>1106</v>
      </c>
      <c r="D42" s="76" t="n">
        <f aca="false">ROUND(Breakdown!F21,0)</f>
        <v>3234</v>
      </c>
      <c r="E42" s="21" t="s">
        <v>692</v>
      </c>
    </row>
    <row r="43" customFormat="false" ht="15" hidden="false" customHeight="false" outlineLevel="0" collapsed="false">
      <c r="A43" s="8" t="s">
        <v>1069</v>
      </c>
      <c r="B43" s="17" t="s">
        <v>1107</v>
      </c>
      <c r="C43" s="21" t="s">
        <v>1108</v>
      </c>
      <c r="D43" s="76" t="n">
        <f aca="false">ROUND(Breakdown!F22,0)</f>
        <v>420</v>
      </c>
      <c r="E43" s="21"/>
    </row>
    <row r="44" customFormat="false" ht="15" hidden="false" customHeight="false" outlineLevel="0" collapsed="false">
      <c r="A44" s="8" t="s">
        <v>1069</v>
      </c>
      <c r="B44" s="17" t="s">
        <v>1109</v>
      </c>
      <c r="C44" s="21" t="s">
        <v>1110</v>
      </c>
      <c r="D44" s="79" t="n">
        <v>0</v>
      </c>
      <c r="E44" s="21" t="s">
        <v>1111</v>
      </c>
    </row>
    <row r="45" customFormat="false" ht="15" hidden="false" customHeight="false" outlineLevel="0" collapsed="false">
      <c r="A45" s="8" t="s">
        <v>1069</v>
      </c>
      <c r="B45" s="17" t="s">
        <v>1112</v>
      </c>
      <c r="C45" s="21" t="s">
        <v>1113</v>
      </c>
      <c r="D45" s="76" t="n">
        <f aca="false">ROUND(Breakdown!F23,0)</f>
        <v>736</v>
      </c>
      <c r="E45" s="21" t="s">
        <v>1114</v>
      </c>
    </row>
    <row r="46" customFormat="false" ht="23.85" hidden="false" customHeight="false" outlineLevel="0" collapsed="false">
      <c r="A46" s="8" t="s">
        <v>1069</v>
      </c>
      <c r="B46" s="17" t="s">
        <v>1115</v>
      </c>
      <c r="C46" s="21" t="s">
        <v>1116</v>
      </c>
      <c r="D46" s="21" t="s">
        <v>1027</v>
      </c>
      <c r="E46" s="21" t="s">
        <v>1117</v>
      </c>
    </row>
    <row r="47" customFormat="false" ht="15" hidden="false" customHeight="false" outlineLevel="0" collapsed="false">
      <c r="A47" s="8" t="s">
        <v>1069</v>
      </c>
      <c r="B47" s="17" t="s">
        <v>1118</v>
      </c>
      <c r="C47" s="21" t="s">
        <v>1000</v>
      </c>
      <c r="D47" s="21" t="s">
        <v>1119</v>
      </c>
      <c r="E47" s="21" t="s">
        <v>1120</v>
      </c>
    </row>
    <row r="48" customFormat="false" ht="15" hidden="false" customHeight="false" outlineLevel="0" collapsed="false">
      <c r="A48" s="8" t="s">
        <v>1121</v>
      </c>
      <c r="B48" s="17" t="s">
        <v>1122</v>
      </c>
      <c r="C48" s="21" t="s">
        <v>1123</v>
      </c>
      <c r="D48" s="21" t="s">
        <v>835</v>
      </c>
      <c r="E48" s="21"/>
    </row>
    <row r="49" customFormat="false" ht="15" hidden="false" customHeight="false" outlineLevel="0" collapsed="false">
      <c r="A49" s="8" t="s">
        <v>1121</v>
      </c>
      <c r="B49" s="17" t="s">
        <v>1124</v>
      </c>
      <c r="C49" s="21" t="s">
        <v>1125</v>
      </c>
      <c r="D49" s="78" t="str">
        <f aca="false">"Tick Category "&amp;EMO_Register!B6&amp;" and type "&amp;EMO_Register!C6</f>
        <v>Tick Category I and type AC</v>
      </c>
      <c r="E49" s="21"/>
    </row>
    <row r="50" customFormat="false" ht="23.85" hidden="false" customHeight="false" outlineLevel="0" collapsed="false">
      <c r="A50" s="8" t="s">
        <v>1121</v>
      </c>
      <c r="B50" s="17" t="s">
        <v>1045</v>
      </c>
      <c r="C50" s="21" t="s">
        <v>1126</v>
      </c>
      <c r="D50" s="78" t="str">
        <f aca="false">EMO_Register!E6&amp;IF(EMO_Register!H6&gt;0,". Saving about "&amp;TEXT(EMO_Register!H6,"#,##0")&amp;" kWh/yr (household share).",". Viability statement only - no saving claimed.")</f>
        <v>Raise the AC set-point from 25 °C to 26 °C and keep the 20 W desk fan running for air movement. Saving about 24 kWh/yr (household share).</v>
      </c>
      <c r="E50" s="21"/>
    </row>
    <row r="51" customFormat="false" ht="15" hidden="false" customHeight="false" outlineLevel="0" collapsed="false">
      <c r="A51" s="8" t="s">
        <v>1121</v>
      </c>
      <c r="B51" s="17" t="s">
        <v>1127</v>
      </c>
      <c r="C51" s="21" t="s">
        <v>1128</v>
      </c>
      <c r="D51" s="21" t="s">
        <v>842</v>
      </c>
      <c r="E51" s="21"/>
    </row>
    <row r="52" customFormat="false" ht="15" hidden="false" customHeight="false" outlineLevel="0" collapsed="false">
      <c r="A52" s="8" t="s">
        <v>1121</v>
      </c>
      <c r="B52" s="17" t="s">
        <v>1129</v>
      </c>
      <c r="C52" s="21" t="s">
        <v>1130</v>
      </c>
      <c r="D52" s="78" t="str">
        <f aca="false">"Tick Category "&amp;EMO_Register!B7&amp;" and type "&amp;EMO_Register!C7</f>
        <v>Tick Category I and type AC</v>
      </c>
      <c r="E52" s="21"/>
    </row>
    <row r="53" customFormat="false" ht="23.85" hidden="false" customHeight="false" outlineLevel="0" collapsed="false">
      <c r="A53" s="8" t="s">
        <v>1121</v>
      </c>
      <c r="B53" s="17" t="s">
        <v>1050</v>
      </c>
      <c r="C53" s="21" t="s">
        <v>1131</v>
      </c>
      <c r="D53" s="78" t="str">
        <f aca="false">EMO_Register!E7&amp;IF(EMO_Register!H7&gt;0,". Saving about "&amp;TEXT(EMO_Register!H7,"#,##0")&amp;" kWh/yr (household share).",". Viability statement only - no saving claimed.")</f>
        <v>Use the AC's built-in timer to switch off 2 h before waking in hot months (12 to 10 h/day). Saving about 100 kWh/yr (household share).</v>
      </c>
      <c r="E53" s="21"/>
    </row>
    <row r="54" customFormat="false" ht="15" hidden="false" customHeight="false" outlineLevel="0" collapsed="false">
      <c r="A54" s="8" t="s">
        <v>1121</v>
      </c>
      <c r="B54" s="17" t="s">
        <v>1132</v>
      </c>
      <c r="C54" s="21" t="s">
        <v>1133</v>
      </c>
      <c r="D54" s="21" t="s">
        <v>845</v>
      </c>
      <c r="E54" s="21"/>
    </row>
    <row r="55" customFormat="false" ht="15" hidden="false" customHeight="false" outlineLevel="0" collapsed="false">
      <c r="A55" s="8" t="s">
        <v>1121</v>
      </c>
      <c r="B55" s="17" t="s">
        <v>1134</v>
      </c>
      <c r="C55" s="21" t="s">
        <v>1135</v>
      </c>
      <c r="D55" s="78" t="str">
        <f aca="false">"Tick Category "&amp;EMO_Register!B8&amp;" and type "&amp;EMO_Register!C8</f>
        <v>Tick Category I and type AC</v>
      </c>
      <c r="E55" s="21"/>
    </row>
    <row r="56" customFormat="false" ht="35.05" hidden="false" customHeight="false" outlineLevel="0" collapsed="false">
      <c r="A56" s="8" t="s">
        <v>1121</v>
      </c>
      <c r="B56" s="17" t="s">
        <v>1136</v>
      </c>
      <c r="C56" s="21" t="s">
        <v>1137</v>
      </c>
      <c r="D56" s="78" t="str">
        <f aca="false">EMO_Register!E8&amp;IF(EMO_Register!H8&gt;0,". Saving about "&amp;TEXT(EMO_Register!H8,"#,##0")&amp;" kWh/yr (household share).",". Viability statement only - no saving claimed.")</f>
        <v>Clean the AC filter fortnightly in summer, wipe the soiled louvres, close the curtain against late-afternoon NW sun. Saving about 41 kWh/yr (household share).</v>
      </c>
      <c r="E56" s="21"/>
    </row>
    <row r="57" customFormat="false" ht="15" hidden="false" customHeight="false" outlineLevel="0" collapsed="false">
      <c r="A57" s="8" t="s">
        <v>1121</v>
      </c>
      <c r="B57" s="17" t="s">
        <v>1138</v>
      </c>
      <c r="C57" s="21" t="s">
        <v>1139</v>
      </c>
      <c r="D57" s="21" t="s">
        <v>848</v>
      </c>
      <c r="E57" s="21"/>
    </row>
    <row r="58" customFormat="false" ht="15" hidden="false" customHeight="false" outlineLevel="0" collapsed="false">
      <c r="A58" s="8" t="s">
        <v>1121</v>
      </c>
      <c r="B58" s="17" t="s">
        <v>1140</v>
      </c>
      <c r="C58" s="21" t="s">
        <v>1141</v>
      </c>
      <c r="D58" s="78" t="str">
        <f aca="false">"Tick Category "&amp;EMO_Register!B9&amp;" and type "&amp;EMO_Register!C9</f>
        <v>Tick Category I and type LG</v>
      </c>
      <c r="E58" s="21"/>
    </row>
    <row r="59" customFormat="false" ht="23.85" hidden="false" customHeight="false" outlineLevel="0" collapsed="false">
      <c r="A59" s="8" t="s">
        <v>1121</v>
      </c>
      <c r="B59" s="17" t="s">
        <v>1142</v>
      </c>
      <c r="C59" s="21" t="s">
        <v>1143</v>
      </c>
      <c r="D59" s="78" t="str">
        <f aca="false">EMO_Register!E9&amp;IF(EMO_Register!H9&gt;0,". Saving about "&amp;TEXT(EMO_Register!H9,"#,##0")&amp;" kWh/yr (household share).",". Viability statement only - no saving claimed.")</f>
        <v>Use the desk task lights instead of both ceiling battens for 3 of the 6 lit hours. Saving about 44 kWh/yr (household share).</v>
      </c>
      <c r="E59" s="21"/>
    </row>
    <row r="60" customFormat="false" ht="15" hidden="false" customHeight="false" outlineLevel="0" collapsed="false">
      <c r="A60" s="8" t="s">
        <v>1121</v>
      </c>
      <c r="B60" s="17" t="s">
        <v>1144</v>
      </c>
      <c r="C60" s="21" t="s">
        <v>1145</v>
      </c>
      <c r="D60" s="21" t="s">
        <v>852</v>
      </c>
      <c r="E60" s="21"/>
    </row>
    <row r="61" customFormat="false" ht="15" hidden="false" customHeight="false" outlineLevel="0" collapsed="false">
      <c r="A61" s="8" t="s">
        <v>1121</v>
      </c>
      <c r="B61" s="17" t="s">
        <v>1146</v>
      </c>
      <c r="C61" s="21" t="s">
        <v>1147</v>
      </c>
      <c r="D61" s="78" t="str">
        <f aca="false">"Tick Category "&amp;EMO_Register!B10&amp;" and type "&amp;EMO_Register!C10</f>
        <v>Tick Category I and type Others</v>
      </c>
      <c r="E61" s="21"/>
    </row>
    <row r="62" customFormat="false" ht="23.85" hidden="false" customHeight="false" outlineLevel="0" collapsed="false">
      <c r="A62" s="8" t="s">
        <v>1121</v>
      </c>
      <c r="B62" s="17" t="s">
        <v>1020</v>
      </c>
      <c r="C62" s="21" t="s">
        <v>1148</v>
      </c>
      <c r="D62" s="78" t="str">
        <f aca="false">EMO_Register!E10&amp;IF(EMO_Register!H10&gt;0,". Saving about "&amp;TEXT(EMO_Register!H10,"#,##0")&amp;" kWh/yr (household share).",". Viability statement only - no saving claimed.")</f>
        <v>Shorten showers from 5 to 4 minutes. Saving about 127 kWh/yr (household share).</v>
      </c>
      <c r="E62" s="21"/>
    </row>
    <row r="63" customFormat="false" ht="15" hidden="false" customHeight="false" outlineLevel="0" collapsed="false">
      <c r="A63" s="8" t="s">
        <v>1121</v>
      </c>
      <c r="B63" s="17" t="s">
        <v>1149</v>
      </c>
      <c r="C63" s="21" t="s">
        <v>1150</v>
      </c>
      <c r="D63" s="21" t="s">
        <v>855</v>
      </c>
      <c r="E63" s="21"/>
    </row>
    <row r="64" customFormat="false" ht="15" hidden="false" customHeight="false" outlineLevel="0" collapsed="false">
      <c r="A64" s="8" t="s">
        <v>1121</v>
      </c>
      <c r="B64" s="17" t="s">
        <v>1151</v>
      </c>
      <c r="C64" s="21" t="s">
        <v>1152</v>
      </c>
      <c r="D64" s="78" t="str">
        <f aca="false">"Tick Category "&amp;EMO_Register!B11&amp;" and type "&amp;EMO_Register!C11</f>
        <v>Tick Category I and type Others</v>
      </c>
      <c r="E64" s="21"/>
    </row>
    <row r="65" customFormat="false" ht="23.85" hidden="false" customHeight="false" outlineLevel="0" collapsed="false">
      <c r="A65" s="8" t="s">
        <v>1121</v>
      </c>
      <c r="B65" s="17" t="s">
        <v>1023</v>
      </c>
      <c r="C65" s="21" t="s">
        <v>1153</v>
      </c>
      <c r="D65" s="78" t="str">
        <f aca="false">EMO_Register!E11&amp;IF(EMO_Register!H11&gt;0,". Saving about "&amp;TEXT(EMO_Register!H11,"#,##0")&amp;" kWh/yr (household share).",". Viability statement only - no saving claimed.")</f>
        <v>Lower the delivered shower temperature from 40 °C to 38 °C (turn the heater dial down). Saving about 77 kWh/yr (household share).</v>
      </c>
      <c r="E65" s="21"/>
    </row>
    <row r="66" customFormat="false" ht="15" hidden="false" customHeight="false" outlineLevel="0" collapsed="false">
      <c r="A66" s="8" t="s">
        <v>1121</v>
      </c>
      <c r="B66" s="17" t="s">
        <v>1154</v>
      </c>
      <c r="C66" s="21" t="s">
        <v>1155</v>
      </c>
      <c r="D66" s="21" t="s">
        <v>858</v>
      </c>
      <c r="E66" s="21"/>
    </row>
    <row r="67" customFormat="false" ht="15" hidden="false" customHeight="false" outlineLevel="0" collapsed="false">
      <c r="A67" s="8" t="s">
        <v>1121</v>
      </c>
      <c r="B67" s="17" t="s">
        <v>1156</v>
      </c>
      <c r="C67" s="21" t="s">
        <v>1157</v>
      </c>
      <c r="D67" s="78" t="str">
        <f aca="false">"Tick Category "&amp;EMO_Register!B12&amp;" and type "&amp;EMO_Register!C12</f>
        <v>Tick Category I and type EL</v>
      </c>
      <c r="E67" s="21"/>
    </row>
    <row r="68" customFormat="false" ht="23.85" hidden="false" customHeight="false" outlineLevel="0" collapsed="false">
      <c r="A68" s="8" t="s">
        <v>1121</v>
      </c>
      <c r="B68" s="17" t="s">
        <v>1158</v>
      </c>
      <c r="C68" s="21" t="s">
        <v>1159</v>
      </c>
      <c r="D68" s="78" t="str">
        <f aca="false">EMO_Register!E12&amp;IF(EMO_Register!H12&gt;0,". Saving about "&amp;TEXT(EMO_Register!H12,"#,##0")&amp;" kWh/yr (household share).",". Viability statement only - no saving claimed.")</f>
        <v>Laptop power management: lower brightness, sleep after 10 min idle, battery-saver mode. Saving about 28 kWh/yr (household share).</v>
      </c>
      <c r="E68" s="21"/>
    </row>
    <row r="69" customFormat="false" ht="15" hidden="false" customHeight="false" outlineLevel="0" collapsed="false">
      <c r="A69" s="8" t="s">
        <v>1121</v>
      </c>
      <c r="B69" s="17" t="s">
        <v>1160</v>
      </c>
      <c r="C69" s="21" t="s">
        <v>1161</v>
      </c>
      <c r="D69" s="21" t="s">
        <v>865</v>
      </c>
      <c r="E69" s="21"/>
    </row>
    <row r="70" customFormat="false" ht="15" hidden="false" customHeight="false" outlineLevel="0" collapsed="false">
      <c r="A70" s="8" t="s">
        <v>1121</v>
      </c>
      <c r="B70" s="17" t="s">
        <v>1162</v>
      </c>
      <c r="C70" s="21" t="s">
        <v>1163</v>
      </c>
      <c r="D70" s="78" t="str">
        <f aca="false">"Tick Category "&amp;EMO_Register!B14&amp;" and type "&amp;EMO_Register!C14</f>
        <v>Tick Category II and type AC</v>
      </c>
      <c r="E70" s="21"/>
    </row>
    <row r="71" customFormat="false" ht="35.05" hidden="false" customHeight="false" outlineLevel="0" collapsed="false">
      <c r="A71" s="8" t="s">
        <v>1121</v>
      </c>
      <c r="B71" s="17" t="s">
        <v>1029</v>
      </c>
      <c r="C71" s="21" t="s">
        <v>1164</v>
      </c>
      <c r="D71" s="78" t="str">
        <f aca="false">EMO_Register!E14&amp;IF(EMO_Register!H14&gt;0,". Saving about "&amp;TEXT(EMO_Register!H14,"#,##0")&amp;" kWh/yr (household share).",". Viability statement only - no saving claimed.")</f>
        <v>Washroom exhaust fan: replace 24 h running with an occupancy / humidistat run-on control (~8 h/day). Saving about 88 kWh/yr (household share).</v>
      </c>
      <c r="E71" s="21"/>
    </row>
    <row r="72" customFormat="false" ht="15" hidden="false" customHeight="false" outlineLevel="0" collapsed="false">
      <c r="A72" s="8" t="s">
        <v>1121</v>
      </c>
      <c r="B72" s="17" t="s">
        <v>1165</v>
      </c>
      <c r="C72" s="21" t="s">
        <v>1166</v>
      </c>
      <c r="D72" s="21" t="s">
        <v>871</v>
      </c>
      <c r="E72" s="21"/>
    </row>
    <row r="73" customFormat="false" ht="15" hidden="false" customHeight="false" outlineLevel="0" collapsed="false">
      <c r="A73" s="8" t="s">
        <v>1121</v>
      </c>
      <c r="B73" s="17" t="s">
        <v>1167</v>
      </c>
      <c r="C73" s="21" t="s">
        <v>1168</v>
      </c>
      <c r="D73" s="78" t="str">
        <f aca="false">"Tick Category "&amp;EMO_Register!B15&amp;" and type "&amp;EMO_Register!C15</f>
        <v>Tick Category II and type AC</v>
      </c>
      <c r="E73" s="21"/>
    </row>
    <row r="74" customFormat="false" ht="35.05" hidden="false" customHeight="false" outlineLevel="0" collapsed="false">
      <c r="A74" s="8" t="s">
        <v>1121</v>
      </c>
      <c r="B74" s="17" t="s">
        <v>1169</v>
      </c>
      <c r="C74" s="21" t="s">
        <v>1170</v>
      </c>
      <c r="D74" s="78" t="str">
        <f aca="false">EMO_Register!E15&amp;IF(EMO_Register!H15&gt;0,". Saving about "&amp;TEXT(EMO_Register!H15,"#,##0")&amp;" kWh/yr (household share).",". Viability statement only - no saving claimed.")</f>
        <v>Kitchen AC: 7-day timer + occupancy interlock, set-point locked at 25.5 °C (8 to 5 h/day hot, 4 to 2 h/day cool). Saving about 33 kWh/yr (household share).</v>
      </c>
      <c r="E74" s="21"/>
    </row>
    <row r="75" customFormat="false" ht="15" hidden="false" customHeight="false" outlineLevel="0" collapsed="false">
      <c r="A75" s="8" t="s">
        <v>1121</v>
      </c>
      <c r="B75" s="17" t="s">
        <v>1171</v>
      </c>
      <c r="C75" s="21" t="s">
        <v>1172</v>
      </c>
      <c r="D75" s="21" t="s">
        <v>877</v>
      </c>
      <c r="E75" s="21"/>
    </row>
    <row r="76" customFormat="false" ht="15" hidden="false" customHeight="false" outlineLevel="0" collapsed="false">
      <c r="A76" s="8" t="s">
        <v>1121</v>
      </c>
      <c r="B76" s="17" t="s">
        <v>1173</v>
      </c>
      <c r="C76" s="21" t="s">
        <v>1174</v>
      </c>
      <c r="D76" s="78" t="str">
        <f aca="false">"Tick Category "&amp;EMO_Register!B17&amp;" and type "&amp;EMO_Register!C17</f>
        <v>Tick Category II and type Others</v>
      </c>
      <c r="E76" s="21"/>
    </row>
    <row r="77" customFormat="false" ht="23.85" hidden="false" customHeight="false" outlineLevel="0" collapsed="false">
      <c r="A77" s="8" t="s">
        <v>1121</v>
      </c>
      <c r="B77" s="17" t="s">
        <v>1175</v>
      </c>
      <c r="C77" s="21" t="s">
        <v>1176</v>
      </c>
      <c r="D77" s="78" t="str">
        <f aca="false">EMO_Register!E17&amp;IF(EMO_Register!H17&gt;0,". Saving about "&amp;TEXT(EMO_Register!H17,"#,##0")&amp;" kWh/yr (household share).",". Viability statement only - no saving claimed.")</f>
        <v>Fit a WELS Grade-1 low-flow showerhead (9 to 7 L/min) in the shared washroom. Saving about 141 kWh/yr (household share).</v>
      </c>
      <c r="E77" s="21"/>
    </row>
    <row r="78" customFormat="false" ht="15" hidden="false" customHeight="false" outlineLevel="0" collapsed="false">
      <c r="A78" s="8" t="s">
        <v>1121</v>
      </c>
      <c r="B78" s="17" t="s">
        <v>1177</v>
      </c>
      <c r="C78" s="21" t="s">
        <v>1178</v>
      </c>
      <c r="D78" s="21" t="s">
        <v>888</v>
      </c>
      <c r="E78" s="21"/>
    </row>
    <row r="79" customFormat="false" ht="15" hidden="false" customHeight="false" outlineLevel="0" collapsed="false">
      <c r="A79" s="8" t="s">
        <v>1121</v>
      </c>
      <c r="B79" s="17" t="s">
        <v>1179</v>
      </c>
      <c r="C79" s="21" t="s">
        <v>1180</v>
      </c>
      <c r="D79" s="78" t="str">
        <f aca="false">"Tick Category "&amp;EMO_Register!B20&amp;" and type "&amp;EMO_Register!C20</f>
        <v>Tick Category III and type Others</v>
      </c>
      <c r="E79" s="21"/>
    </row>
    <row r="80" customFormat="false" ht="35.05" hidden="false" customHeight="false" outlineLevel="0" collapsed="false">
      <c r="A80" s="8" t="s">
        <v>1121</v>
      </c>
      <c r="B80" s="17" t="s">
        <v>1181</v>
      </c>
      <c r="C80" s="21" t="s">
        <v>1182</v>
      </c>
      <c r="D80" s="78" t="str">
        <f aca="false">EMO_Register!E20&amp;IF(EMO_Register!H20&gt;0,". Saving about "&amp;TEXT(EMO_Register!H20,"#,##0")&amp;" kWh/yr (household share).",". Viability statement only - no saving claimed.")</f>
        <v>Replace 24.4 kW instantaneous shower heaters with central air-source heat-pump water heating (COP about 3.5) and storage. Saving about 455 kWh/yr (household share).</v>
      </c>
      <c r="E80" s="21"/>
    </row>
    <row r="81" customFormat="false" ht="15" hidden="false" customHeight="false" outlineLevel="0" collapsed="false">
      <c r="A81" s="8" t="s">
        <v>1121</v>
      </c>
      <c r="B81" s="17" t="s">
        <v>1183</v>
      </c>
      <c r="C81" s="21" t="s">
        <v>1184</v>
      </c>
      <c r="D81" s="21" t="s">
        <v>902</v>
      </c>
      <c r="E81" s="21"/>
    </row>
    <row r="82" customFormat="false" ht="15" hidden="false" customHeight="false" outlineLevel="0" collapsed="false">
      <c r="A82" s="8" t="s">
        <v>1121</v>
      </c>
      <c r="B82" s="17" t="s">
        <v>1185</v>
      </c>
      <c r="C82" s="21" t="s">
        <v>1186</v>
      </c>
      <c r="D82" s="78" t="str">
        <f aca="false">"Tick Category "&amp;EMO_Register!B23&amp;" and type "&amp;EMO_Register!C23</f>
        <v>Tick Category III and type Others</v>
      </c>
      <c r="E82" s="21"/>
    </row>
    <row r="83" customFormat="false" ht="23.85" hidden="false" customHeight="false" outlineLevel="0" collapsed="false">
      <c r="A83" s="8" t="s">
        <v>1121</v>
      </c>
      <c r="B83" s="17" t="s">
        <v>1187</v>
      </c>
      <c r="C83" s="21" t="s">
        <v>1188</v>
      </c>
      <c r="D83" s="78" t="str">
        <f aca="false">EMO_Register!E23&amp;IF(EMO_Register!H23&gt;0,". Saving about "&amp;TEXT(EMO_Register!H23,"#,##0")&amp;" kWh/yr (household share).",". Viability statement only - no saving claimed.")</f>
        <v>Expand rooftop solar PV under the CLP Feed-in Tariff (the village already has 110 panels). Viability statement only - no saving claimed.</v>
      </c>
      <c r="E83" s="21"/>
    </row>
    <row r="84" customFormat="false" ht="23.85" hidden="false" customHeight="false" outlineLevel="0" collapsed="false">
      <c r="A84" s="8" t="s">
        <v>1121</v>
      </c>
      <c r="B84" s="17" t="s">
        <v>1189</v>
      </c>
      <c r="C84" s="21" t="s">
        <v>1190</v>
      </c>
      <c r="D84" s="21" t="s">
        <v>1191</v>
      </c>
      <c r="E84" s="21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60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1193</v>
      </c>
    </row>
    <row r="4" customFormat="false" ht="15" hidden="false" customHeight="false" outlineLevel="0" collapsed="false">
      <c r="A4" s="12" t="s">
        <v>820</v>
      </c>
      <c r="B4" s="12" t="s">
        <v>1194</v>
      </c>
      <c r="C4" s="12" t="s">
        <v>1195</v>
      </c>
      <c r="D4" s="12" t="s">
        <v>1196</v>
      </c>
    </row>
    <row r="5" customFormat="false" ht="23.85" hidden="false" customHeight="false" outlineLevel="0" collapsed="false">
      <c r="A5" s="17" t="s">
        <v>1197</v>
      </c>
      <c r="B5" s="8" t="s">
        <v>1198</v>
      </c>
      <c r="C5" s="21" t="s">
        <v>1199</v>
      </c>
      <c r="D5" s="21" t="s">
        <v>1200</v>
      </c>
    </row>
    <row r="6" customFormat="false" ht="15" hidden="false" customHeight="false" outlineLevel="0" collapsed="false">
      <c r="A6" s="17" t="s">
        <v>1201</v>
      </c>
      <c r="B6" s="8" t="s">
        <v>1202</v>
      </c>
      <c r="C6" s="21" t="s">
        <v>1203</v>
      </c>
      <c r="D6" s="21" t="s">
        <v>1204</v>
      </c>
    </row>
    <row r="7" customFormat="false" ht="15" hidden="false" customHeight="false" outlineLevel="0" collapsed="false">
      <c r="A7" s="17" t="s">
        <v>1205</v>
      </c>
      <c r="B7" s="8" t="s">
        <v>1206</v>
      </c>
      <c r="C7" s="21" t="s">
        <v>1207</v>
      </c>
      <c r="D7" s="21" t="s">
        <v>1208</v>
      </c>
    </row>
    <row r="8" customFormat="false" ht="15" hidden="false" customHeight="false" outlineLevel="0" collapsed="false">
      <c r="A8" s="17" t="s">
        <v>1209</v>
      </c>
      <c r="B8" s="8" t="s">
        <v>1210</v>
      </c>
      <c r="C8" s="21" t="s">
        <v>1211</v>
      </c>
      <c r="D8" s="21" t="s">
        <v>1212</v>
      </c>
    </row>
    <row r="9" customFormat="false" ht="15" hidden="false" customHeight="false" outlineLevel="0" collapsed="false">
      <c r="A9" s="17" t="s">
        <v>1213</v>
      </c>
      <c r="B9" s="8" t="s">
        <v>1214</v>
      </c>
      <c r="C9" s="21" t="s">
        <v>1215</v>
      </c>
      <c r="D9" s="21" t="s">
        <v>1216</v>
      </c>
    </row>
    <row r="10" customFormat="false" ht="15" hidden="false" customHeight="false" outlineLevel="0" collapsed="false">
      <c r="A10" s="17" t="s">
        <v>1217</v>
      </c>
      <c r="B10" s="8" t="s">
        <v>1218</v>
      </c>
      <c r="C10" s="21" t="s">
        <v>1219</v>
      </c>
      <c r="D10" s="21" t="s">
        <v>1220</v>
      </c>
    </row>
    <row r="11" customFormat="false" ht="23.85" hidden="false" customHeight="false" outlineLevel="0" collapsed="false">
      <c r="A11" s="17" t="s">
        <v>1221</v>
      </c>
      <c r="B11" s="8" t="s">
        <v>1222</v>
      </c>
      <c r="C11" s="21" t="s">
        <v>1223</v>
      </c>
      <c r="D11" s="21" t="s">
        <v>1224</v>
      </c>
    </row>
    <row r="12" customFormat="false" ht="15" hidden="false" customHeight="false" outlineLevel="0" collapsed="false">
      <c r="A12" s="17" t="s">
        <v>1225</v>
      </c>
      <c r="B12" s="8" t="s">
        <v>1226</v>
      </c>
      <c r="C12" s="21" t="s">
        <v>1227</v>
      </c>
      <c r="D12" s="21" t="s">
        <v>1228</v>
      </c>
    </row>
    <row r="13" customFormat="false" ht="15" hidden="false" customHeight="false" outlineLevel="0" collapsed="false">
      <c r="A13" s="17" t="s">
        <v>561</v>
      </c>
      <c r="B13" s="8" t="s">
        <v>1229</v>
      </c>
      <c r="C13" s="21" t="s">
        <v>1230</v>
      </c>
      <c r="D13" s="21" t="s">
        <v>1231</v>
      </c>
    </row>
    <row r="14" customFormat="false" ht="15" hidden="false" customHeight="false" outlineLevel="0" collapsed="false">
      <c r="A14" s="17" t="s">
        <v>564</v>
      </c>
      <c r="B14" s="8" t="s">
        <v>1232</v>
      </c>
      <c r="C14" s="21" t="s">
        <v>1233</v>
      </c>
      <c r="D14" s="21" t="s">
        <v>1234</v>
      </c>
    </row>
    <row r="15" customFormat="false" ht="15" hidden="false" customHeight="false" outlineLevel="0" collapsed="false">
      <c r="A15" s="17" t="s">
        <v>577</v>
      </c>
      <c r="B15" s="8" t="s">
        <v>1235</v>
      </c>
      <c r="C15" s="21" t="s">
        <v>1236</v>
      </c>
      <c r="D15" s="21" t="s">
        <v>1237</v>
      </c>
    </row>
    <row r="16" customFormat="false" ht="15" hidden="false" customHeight="false" outlineLevel="0" collapsed="false">
      <c r="A16" s="17" t="s">
        <v>570</v>
      </c>
      <c r="B16" s="8" t="s">
        <v>1238</v>
      </c>
      <c r="C16" s="21" t="s">
        <v>1239</v>
      </c>
      <c r="D16" s="21" t="s">
        <v>1240</v>
      </c>
    </row>
    <row r="17" customFormat="false" ht="15" hidden="false" customHeight="false" outlineLevel="0" collapsed="false">
      <c r="A17" s="17" t="s">
        <v>1241</v>
      </c>
      <c r="B17" s="8" t="s">
        <v>1242</v>
      </c>
      <c r="C17" s="21" t="s">
        <v>1243</v>
      </c>
      <c r="D17" s="21" t="s">
        <v>1244</v>
      </c>
    </row>
    <row r="18" customFormat="false" ht="15" hidden="false" customHeight="false" outlineLevel="0" collapsed="false">
      <c r="A18" s="17" t="s">
        <v>597</v>
      </c>
      <c r="B18" s="8" t="s">
        <v>1245</v>
      </c>
      <c r="C18" s="21" t="s">
        <v>1246</v>
      </c>
      <c r="D18" s="21" t="s">
        <v>1247</v>
      </c>
    </row>
    <row r="19" customFormat="false" ht="15" hidden="false" customHeight="false" outlineLevel="0" collapsed="false">
      <c r="A19" s="17" t="s">
        <v>1248</v>
      </c>
      <c r="B19" s="8" t="s">
        <v>1249</v>
      </c>
      <c r="C19" s="21" t="s">
        <v>1250</v>
      </c>
      <c r="D19" s="21" t="s">
        <v>1251</v>
      </c>
    </row>
    <row r="20" customFormat="false" ht="15" hidden="false" customHeight="false" outlineLevel="0" collapsed="false">
      <c r="A20" s="17" t="s">
        <v>1252</v>
      </c>
      <c r="B20" s="8" t="s">
        <v>1253</v>
      </c>
      <c r="C20" s="21" t="s">
        <v>1254</v>
      </c>
      <c r="D20" s="21" t="s">
        <v>1255</v>
      </c>
    </row>
    <row r="21" customFormat="false" ht="15" hidden="false" customHeight="false" outlineLevel="0" collapsed="false">
      <c r="A21" s="17" t="s">
        <v>1256</v>
      </c>
      <c r="B21" s="8" t="s">
        <v>1257</v>
      </c>
      <c r="C21" s="21" t="s">
        <v>1258</v>
      </c>
      <c r="D21" s="21" t="s">
        <v>1259</v>
      </c>
    </row>
    <row r="22" customFormat="false" ht="23.85" hidden="false" customHeight="false" outlineLevel="0" collapsed="false">
      <c r="A22" s="17" t="s">
        <v>1260</v>
      </c>
      <c r="B22" s="8" t="s">
        <v>1261</v>
      </c>
      <c r="C22" s="21" t="s">
        <v>1262</v>
      </c>
      <c r="D22" s="21" t="s">
        <v>1263</v>
      </c>
    </row>
    <row r="23" customFormat="false" ht="15" hidden="false" customHeight="false" outlineLevel="0" collapsed="false">
      <c r="A23" s="17" t="s">
        <v>1264</v>
      </c>
      <c r="B23" s="8" t="s">
        <v>1265</v>
      </c>
      <c r="C23" s="21" t="s">
        <v>1266</v>
      </c>
      <c r="D23" s="21" t="s">
        <v>1267</v>
      </c>
    </row>
    <row r="24" customFormat="false" ht="15" hidden="false" customHeight="false" outlineLevel="0" collapsed="false">
      <c r="A24" s="17" t="s">
        <v>1268</v>
      </c>
      <c r="B24" s="8" t="s">
        <v>1269</v>
      </c>
      <c r="C24" s="21" t="s">
        <v>1270</v>
      </c>
      <c r="D24" s="21" t="s">
        <v>1271</v>
      </c>
    </row>
    <row r="25" customFormat="false" ht="15" hidden="false" customHeight="false" outlineLevel="0" collapsed="false">
      <c r="A25" s="17" t="s">
        <v>1272</v>
      </c>
      <c r="B25" s="8" t="s">
        <v>1273</v>
      </c>
      <c r="C25" s="21" t="s">
        <v>1274</v>
      </c>
      <c r="D25" s="21" t="s">
        <v>1275</v>
      </c>
    </row>
    <row r="26" customFormat="false" ht="15" hidden="false" customHeight="false" outlineLevel="0" collapsed="false">
      <c r="A26" s="17" t="s">
        <v>1276</v>
      </c>
      <c r="B26" s="8" t="s">
        <v>1277</v>
      </c>
      <c r="C26" s="21" t="s">
        <v>1278</v>
      </c>
      <c r="D26" s="21" t="s">
        <v>1279</v>
      </c>
    </row>
    <row r="27" customFormat="false" ht="15" hidden="false" customHeight="false" outlineLevel="0" collapsed="false">
      <c r="A27" s="17" t="s">
        <v>1280</v>
      </c>
      <c r="B27" s="8" t="s">
        <v>1281</v>
      </c>
      <c r="C27" s="21" t="s">
        <v>1282</v>
      </c>
      <c r="D27" s="21" t="s">
        <v>1283</v>
      </c>
    </row>
    <row r="28" customFormat="false" ht="15" hidden="false" customHeight="false" outlineLevel="0" collapsed="false">
      <c r="A28" s="17" t="s">
        <v>1284</v>
      </c>
      <c r="B28" s="8" t="s">
        <v>1285</v>
      </c>
      <c r="C28" s="21" t="s">
        <v>1286</v>
      </c>
      <c r="D28" s="21" t="s">
        <v>1287</v>
      </c>
    </row>
    <row r="29" customFormat="false" ht="15" hidden="false" customHeight="false" outlineLevel="0" collapsed="false">
      <c r="A29" s="17" t="s">
        <v>1288</v>
      </c>
      <c r="B29" s="8" t="s">
        <v>1289</v>
      </c>
      <c r="C29" s="21" t="s">
        <v>1290</v>
      </c>
      <c r="D29" s="21" t="s">
        <v>1291</v>
      </c>
    </row>
    <row r="30" customFormat="false" ht="15" hidden="false" customHeight="false" outlineLevel="0" collapsed="false">
      <c r="A30" s="17" t="s">
        <v>603</v>
      </c>
      <c r="B30" s="8" t="s">
        <v>1292</v>
      </c>
      <c r="C30" s="21" t="s">
        <v>1293</v>
      </c>
      <c r="D30" s="21" t="s">
        <v>1294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1295</v>
      </c>
    </row>
    <row r="4" customFormat="false" ht="15" hidden="false" customHeight="false" outlineLevel="0" collapsed="false">
      <c r="A4" s="12" t="s">
        <v>535</v>
      </c>
      <c r="B4" s="12" t="s">
        <v>1296</v>
      </c>
      <c r="C4" s="12" t="s">
        <v>1297</v>
      </c>
      <c r="D4" s="12" t="s">
        <v>1298</v>
      </c>
    </row>
    <row r="5" customFormat="false" ht="23.85" hidden="false" customHeight="false" outlineLevel="0" collapsed="false">
      <c r="A5" s="17" t="s">
        <v>1299</v>
      </c>
      <c r="B5" s="21" t="s">
        <v>1300</v>
      </c>
      <c r="C5" s="21" t="s">
        <v>1301</v>
      </c>
      <c r="D5" s="21"/>
    </row>
    <row r="6" customFormat="false" ht="35.05" hidden="false" customHeight="false" outlineLevel="0" collapsed="false">
      <c r="A6" s="17" t="s">
        <v>163</v>
      </c>
      <c r="B6" s="21" t="s">
        <v>1302</v>
      </c>
      <c r="C6" s="21" t="s">
        <v>1303</v>
      </c>
      <c r="D6" s="21"/>
    </row>
    <row r="7" customFormat="false" ht="23.85" hidden="false" customHeight="false" outlineLevel="0" collapsed="false">
      <c r="A7" s="17" t="s">
        <v>130</v>
      </c>
      <c r="B7" s="21" t="s">
        <v>1304</v>
      </c>
      <c r="C7" s="21" t="s">
        <v>1305</v>
      </c>
      <c r="D7" s="21"/>
    </row>
    <row r="8" customFormat="false" ht="23.85" hidden="false" customHeight="false" outlineLevel="0" collapsed="false">
      <c r="A8" s="17" t="s">
        <v>1306</v>
      </c>
      <c r="B8" s="21" t="s">
        <v>1307</v>
      </c>
      <c r="C8" s="21" t="s">
        <v>1308</v>
      </c>
      <c r="D8" s="21"/>
    </row>
    <row r="9" customFormat="false" ht="23.85" hidden="false" customHeight="false" outlineLevel="0" collapsed="false">
      <c r="A9" s="17" t="s">
        <v>156</v>
      </c>
      <c r="B9" s="21" t="s">
        <v>1309</v>
      </c>
      <c r="C9" s="21" t="s">
        <v>1310</v>
      </c>
      <c r="D9" s="21" t="s">
        <v>1311</v>
      </c>
    </row>
    <row r="10" customFormat="false" ht="23.85" hidden="false" customHeight="false" outlineLevel="0" collapsed="false">
      <c r="A10" s="17" t="s">
        <v>143</v>
      </c>
      <c r="B10" s="21" t="s">
        <v>1312</v>
      </c>
      <c r="C10" s="21" t="s">
        <v>1313</v>
      </c>
      <c r="D10" s="21" t="s">
        <v>1314</v>
      </c>
    </row>
    <row r="11" customFormat="false" ht="23.85" hidden="false" customHeight="false" outlineLevel="0" collapsed="false">
      <c r="A11" s="17" t="s">
        <v>456</v>
      </c>
      <c r="B11" s="21" t="s">
        <v>1315</v>
      </c>
      <c r="C11" s="21" t="s">
        <v>1316</v>
      </c>
      <c r="D11" s="21" t="s">
        <v>1317</v>
      </c>
    </row>
    <row r="12" customFormat="false" ht="23.85" hidden="false" customHeight="false" outlineLevel="0" collapsed="false">
      <c r="A12" s="17" t="s">
        <v>1318</v>
      </c>
      <c r="B12" s="21" t="s">
        <v>1319</v>
      </c>
      <c r="C12" s="21" t="s">
        <v>1320</v>
      </c>
      <c r="D12" s="21" t="s">
        <v>1321</v>
      </c>
    </row>
    <row r="13" customFormat="false" ht="23.85" hidden="false" customHeight="false" outlineLevel="0" collapsed="false">
      <c r="A13" s="17" t="s">
        <v>223</v>
      </c>
      <c r="B13" s="21" t="s">
        <v>1322</v>
      </c>
      <c r="C13" s="21" t="s">
        <v>1323</v>
      </c>
      <c r="D13" s="21" t="s">
        <v>1324</v>
      </c>
    </row>
    <row r="14" customFormat="false" ht="23.85" hidden="false" customHeight="false" outlineLevel="0" collapsed="false">
      <c r="A14" s="17" t="s">
        <v>471</v>
      </c>
      <c r="B14" s="21" t="s">
        <v>1325</v>
      </c>
      <c r="C14" s="21" t="s">
        <v>1326</v>
      </c>
      <c r="D14" s="21" t="s">
        <v>1327</v>
      </c>
    </row>
    <row r="15" customFormat="false" ht="23.85" hidden="false" customHeight="false" outlineLevel="0" collapsed="false">
      <c r="A15" s="17" t="s">
        <v>168</v>
      </c>
      <c r="B15" s="21" t="s">
        <v>1328</v>
      </c>
      <c r="C15" s="21" t="s">
        <v>1329</v>
      </c>
      <c r="D15" s="21" t="s">
        <v>1330</v>
      </c>
    </row>
    <row r="16" customFormat="false" ht="23.85" hidden="false" customHeight="false" outlineLevel="0" collapsed="false">
      <c r="A16" s="17" t="s">
        <v>175</v>
      </c>
      <c r="B16" s="21" t="s">
        <v>1331</v>
      </c>
      <c r="C16" s="21" t="s">
        <v>1332</v>
      </c>
      <c r="D16" s="21" t="s">
        <v>1333</v>
      </c>
    </row>
    <row r="17" customFormat="false" ht="23.85" hidden="false" customHeight="false" outlineLevel="0" collapsed="false">
      <c r="A17" s="17" t="s">
        <v>400</v>
      </c>
      <c r="B17" s="21" t="s">
        <v>1334</v>
      </c>
      <c r="C17" s="21" t="s">
        <v>1335</v>
      </c>
      <c r="D17" s="21" t="s">
        <v>1336</v>
      </c>
    </row>
    <row r="18" customFormat="false" ht="23.85" hidden="false" customHeight="false" outlineLevel="0" collapsed="false">
      <c r="A18" s="17" t="s">
        <v>243</v>
      </c>
      <c r="B18" s="21" t="s">
        <v>1337</v>
      </c>
      <c r="C18" s="21" t="s">
        <v>1338</v>
      </c>
      <c r="D18" s="21" t="s">
        <v>1339</v>
      </c>
    </row>
    <row r="19" customFormat="false" ht="35.05" hidden="false" customHeight="false" outlineLevel="0" collapsed="false">
      <c r="A19" s="17" t="s">
        <v>1340</v>
      </c>
      <c r="B19" s="21" t="s">
        <v>1341</v>
      </c>
      <c r="C19" s="21" t="s">
        <v>1342</v>
      </c>
      <c r="D19" s="21" t="s">
        <v>1343</v>
      </c>
    </row>
    <row r="20" customFormat="false" ht="23.85" hidden="false" customHeight="false" outlineLevel="0" collapsed="false">
      <c r="A20" s="17" t="s">
        <v>309</v>
      </c>
      <c r="B20" s="21" t="s">
        <v>313</v>
      </c>
      <c r="C20" s="21" t="s">
        <v>1344</v>
      </c>
      <c r="D20" s="21" t="s">
        <v>1345</v>
      </c>
    </row>
    <row r="21" customFormat="false" ht="23.85" hidden="false" customHeight="false" outlineLevel="0" collapsed="false">
      <c r="A21" s="17" t="s">
        <v>435</v>
      </c>
      <c r="B21" s="21" t="s">
        <v>436</v>
      </c>
      <c r="C21" s="21" t="s">
        <v>1346</v>
      </c>
      <c r="D21" s="21" t="s">
        <v>1347</v>
      </c>
    </row>
    <row r="22" customFormat="false" ht="23.85" hidden="false" customHeight="false" outlineLevel="0" collapsed="false">
      <c r="A22" s="17" t="s">
        <v>439</v>
      </c>
      <c r="B22" s="21" t="s">
        <v>1348</v>
      </c>
      <c r="C22" s="21" t="s">
        <v>1349</v>
      </c>
      <c r="D22" s="21" t="s">
        <v>1350</v>
      </c>
    </row>
    <row r="23" customFormat="false" ht="35.05" hidden="false" customHeight="false" outlineLevel="0" collapsed="false">
      <c r="A23" s="17" t="s">
        <v>450</v>
      </c>
      <c r="B23" s="21" t="s">
        <v>1351</v>
      </c>
      <c r="C23" s="21" t="s">
        <v>1352</v>
      </c>
      <c r="D23" s="21" t="s">
        <v>1353</v>
      </c>
    </row>
    <row r="24" customFormat="false" ht="23.85" hidden="false" customHeight="false" outlineLevel="0" collapsed="false">
      <c r="A24" s="17" t="s">
        <v>339</v>
      </c>
      <c r="B24" s="21" t="s">
        <v>1354</v>
      </c>
      <c r="C24" s="21" t="s">
        <v>1355</v>
      </c>
      <c r="D24" s="21" t="s">
        <v>1356</v>
      </c>
    </row>
    <row r="25" customFormat="false" ht="23.85" hidden="false" customHeight="false" outlineLevel="0" collapsed="false">
      <c r="A25" s="17" t="s">
        <v>193</v>
      </c>
      <c r="B25" s="21" t="s">
        <v>1357</v>
      </c>
      <c r="C25" s="21" t="s">
        <v>1358</v>
      </c>
      <c r="D25" s="21" t="s">
        <v>1359</v>
      </c>
    </row>
    <row r="26" customFormat="false" ht="23.85" hidden="false" customHeight="false" outlineLevel="0" collapsed="false">
      <c r="A26" s="17" t="s">
        <v>1360</v>
      </c>
      <c r="B26" s="21" t="s">
        <v>1361</v>
      </c>
      <c r="C26" s="21" t="s">
        <v>1362</v>
      </c>
      <c r="D26" s="21" t="s">
        <v>1363</v>
      </c>
    </row>
    <row r="27" customFormat="false" ht="23.85" hidden="false" customHeight="false" outlineLevel="0" collapsed="false">
      <c r="A27" s="17" t="s">
        <v>463</v>
      </c>
      <c r="B27" s="21" t="s">
        <v>1364</v>
      </c>
      <c r="C27" s="21" t="s">
        <v>1365</v>
      </c>
      <c r="D27" s="21" t="s">
        <v>1366</v>
      </c>
    </row>
    <row r="28" customFormat="false" ht="23.85" hidden="false" customHeight="false" outlineLevel="0" collapsed="false">
      <c r="A28" s="17" t="s">
        <v>476</v>
      </c>
      <c r="B28" s="21" t="s">
        <v>1367</v>
      </c>
      <c r="C28" s="21" t="s">
        <v>1368</v>
      </c>
      <c r="D28" s="21" t="s">
        <v>1369</v>
      </c>
    </row>
    <row r="29" customFormat="false" ht="23.85" hidden="false" customHeight="false" outlineLevel="0" collapsed="false">
      <c r="A29" s="17" t="s">
        <v>148</v>
      </c>
      <c r="B29" s="21" t="s">
        <v>1370</v>
      </c>
      <c r="C29" s="21" t="s">
        <v>1371</v>
      </c>
      <c r="D29" s="21" t="s">
        <v>1372</v>
      </c>
    </row>
    <row r="30" customFormat="false" ht="23.85" hidden="false" customHeight="false" outlineLevel="0" collapsed="false">
      <c r="A30" s="17" t="s">
        <v>1373</v>
      </c>
      <c r="B30" s="21" t="s">
        <v>1374</v>
      </c>
      <c r="C30" s="21" t="s">
        <v>1375</v>
      </c>
      <c r="D30" s="21" t="s">
        <v>1376</v>
      </c>
    </row>
    <row r="31" customFormat="false" ht="23.85" hidden="false" customHeight="false" outlineLevel="0" collapsed="false">
      <c r="A31" s="17" t="s">
        <v>1377</v>
      </c>
      <c r="B31" s="21" t="s">
        <v>1378</v>
      </c>
      <c r="C31" s="21" t="s">
        <v>1379</v>
      </c>
      <c r="D31" s="21" t="s">
        <v>1380</v>
      </c>
    </row>
    <row r="32" customFormat="false" ht="23.85" hidden="false" customHeight="false" outlineLevel="0" collapsed="false">
      <c r="A32" s="17" t="s">
        <v>209</v>
      </c>
      <c r="B32" s="21" t="s">
        <v>210</v>
      </c>
      <c r="C32" s="21" t="s">
        <v>1381</v>
      </c>
      <c r="D32" s="21" t="s">
        <v>1382</v>
      </c>
    </row>
    <row r="33" customFormat="false" ht="23.85" hidden="false" customHeight="false" outlineLevel="0" collapsed="false">
      <c r="A33" s="17" t="s">
        <v>88</v>
      </c>
      <c r="B33" s="21" t="s">
        <v>1383</v>
      </c>
      <c r="C33" s="21" t="s">
        <v>1384</v>
      </c>
      <c r="D33" s="21"/>
    </row>
    <row r="34" customFormat="false" ht="35.05" hidden="false" customHeight="false" outlineLevel="0" collapsed="false">
      <c r="A34" s="17" t="s">
        <v>1385</v>
      </c>
      <c r="B34" s="21" t="s">
        <v>1386</v>
      </c>
      <c r="C34" s="21" t="s">
        <v>1387</v>
      </c>
      <c r="D34" s="21" t="s">
        <v>1388</v>
      </c>
    </row>
    <row r="35" customFormat="false" ht="35.05" hidden="false" customHeight="false" outlineLevel="0" collapsed="false">
      <c r="A35" s="17" t="s">
        <v>1389</v>
      </c>
      <c r="B35" s="21" t="s">
        <v>1390</v>
      </c>
      <c r="C35" s="21" t="s">
        <v>1391</v>
      </c>
      <c r="D35" s="21" t="s">
        <v>1392</v>
      </c>
    </row>
    <row r="36" customFormat="false" ht="23.85" hidden="false" customHeight="false" outlineLevel="0" collapsed="false">
      <c r="A36" s="17" t="s">
        <v>1393</v>
      </c>
      <c r="B36" s="21" t="s">
        <v>1394</v>
      </c>
      <c r="C36" s="21" t="s">
        <v>1395</v>
      </c>
      <c r="D36" s="21" t="s">
        <v>1396</v>
      </c>
    </row>
  </sheetData>
  <hyperlinks>
    <hyperlink ref="D9" r:id="rId1" display="https://sustainability.clpgroup.com/en/2025/esg-data-hub"/>
    <hyperlink ref="D10" r:id="rId2" display="https://www.clp.com.hk/en/clp-power-tariff-adjustment-2026"/>
    <hyperlink ref="D11" r:id="rId3" display="https://www.news.gov.hk/eng/2025/11/20251118/20251118_171441_586.html"/>
    <hyperlink ref="D12" r:id="rId4" display="https://www.hko.gov.hk/en/cis/normal/1991_2020/15day_normal.htm"/>
    <hyperlink ref="D13" r:id="rId5" display="https://www.emsd.gov.hk/energylabel/en/households/rac/eels_ac_eot_popup.htm"/>
    <hyperlink ref="D14" r:id="rId6" display="https://www.news.gov.hk/eng/2025/04/20250417/20250417_120238_003.html"/>
    <hyperlink ref="D15" r:id="rId7" display="https://hkgbc.org.hk/eng/resources/publications/HKGBC-Publication/Reports/green-building-in-action/references/2025.jsp"/>
    <hyperlink ref="D16" r:id="rId8" display="https://water.hku.hk/wp-content/uploads/2024/05/221200-ECF_Final-report_website-updates.pdf"/>
    <hyperlink ref="D17" r:id="rId9" display="https://water.hku.hk/water-conservation/"/>
    <hyperlink ref="D18" r:id="rId10" display="https://www.info.gov.hk/gia/general/201207/04/P201207040635.htm"/>
    <hyperlink ref="D19" r:id="rId11" display="https://www.cityu.edu.hk/en/media/press-release/2024/12/11/cityuhk-holds-opening-and-naming-ceremony-lee-shau-kee-student-residence-village"/>
    <hyperlink ref="D20" r:id="rId12" display="https://hkele.com.hk/en/DHBE27SLI"/>
    <hyperlink ref="D21" r:id="rId13" display="https://www.mtr.com.hk/sustainability/assets/pdf/en/2022/MTR_CDP_Response.pdf"/>
    <hyperlink ref="D22" r:id="rId14" display="https://www.gov.uk/government/publications/greenhouse-gas-reporting-conversion-factors-2025"/>
    <hyperlink ref="D23" r:id="rId15" display="https://www.oxfordmartin.ox.ac.uk/publications/dietary-greenhouse-gas-emissions-of-meat-eaters-fish-eaters-vegetarians-and-vegans-in-the-uk"/>
    <hyperlink ref="D24" r:id="rId16" display="https://www.energystar.gov/sites/default/files/ES%20WC%20V2%200%20Spec.pdf"/>
    <hyperlink ref="D25" r:id="rId17" display="https://www.ashrae.org/technical-resources/ashrae-journal/featured-articles/october-2022-analysis-of-refrigerant-use-for-ac-equipment-maintenance"/>
    <hyperlink ref="D26" r:id="rId18" display="https://www.clpgroup.com/content/dam/clp-group/channels/media/document/2022/20220426_en.pdf.coredownload.pdf"/>
    <hyperlink ref="D27" r:id="rId19" display="https://www.devb.gov.hk/en/sdev/press/index_id_11447.html"/>
    <hyperlink ref="D28" r:id="rId20" display="https://emsd.gov.hk/beeo/en/pee/BEC2021vsBEC2024.pdf"/>
    <hyperlink ref="D29" r:id="rId21" display="https://wys.cuhk.edu.hk/college-life-support/information-for-residents/"/>
    <hyperlink ref="D30" r:id="rId22" display="https://www.osti.gov/biblio/805122"/>
    <hyperlink ref="D31" r:id="rId23" display="https://news.rthk.hk/rthk/en/component/k2/1854660-20260514.htm"/>
    <hyperlink ref="D32" r:id="rId24" display="https://www.feverelectrics.com/en/products/midea-mw12crf8e-1-5hp-r32-inverter-window-type-air-conditioner"/>
    <hyperlink ref="D34" r:id="rId25" display="https://www.info.gov.hk/gia/general/202406/26/P2024062600623.htm"/>
    <hyperlink ref="D35" r:id="rId26" display="https://www.info.gov.hk/gia/general/202110/08/P2021100800588.htm"/>
    <hyperlink ref="D36" r:id="rId27" display="https://www.energy.gov/energysaver/maintaining-your-air-condition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2026-10-11T09:10:35Z</dcterms:created>
  <dc:creator>openpyxl</dc:creator>
  <dc:description/>
  <dc:language>en-US</dc:language>
  <cp:lastModifiedBy/>
  <dcterms:modified xsi:type="dcterms:W3CDTF">2026-10-11T09:10:37Z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